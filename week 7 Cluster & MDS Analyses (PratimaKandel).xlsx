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fa0914efbc749894/Desktop/"/>
    </mc:Choice>
  </mc:AlternateContent>
  <xr:revisionPtr revIDLastSave="0" documentId="8_{E0CC30F6-415F-483D-9ED4-5C15DF549C3D}" xr6:coauthVersionLast="47" xr6:coauthVersionMax="47" xr10:uidLastSave="{00000000-0000-0000-0000-000000000000}"/>
  <bookViews>
    <workbookView xWindow="-108" yWindow="-108" windowWidth="23256" windowHeight="12456" activeTab="1" xr2:uid="{4490DB51-E820-4C42-9466-0BDE1AE09C14}"/>
  </bookViews>
  <sheets>
    <sheet name="Cluster Analysis" sheetId="1" r:id="rId1"/>
    <sheet name="MDS 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8" i="2" l="1"/>
  <c r="N98" i="2"/>
  <c r="J98" i="2"/>
  <c r="V97" i="2"/>
  <c r="R97" i="2"/>
  <c r="N97" i="2"/>
  <c r="J97" i="2"/>
  <c r="V96" i="2"/>
  <c r="R96" i="2"/>
  <c r="N96" i="2"/>
  <c r="J96" i="2"/>
  <c r="X95" i="2"/>
  <c r="W95" i="2"/>
  <c r="V95" i="2"/>
  <c r="U95" i="2"/>
  <c r="T95" i="2"/>
  <c r="S95" i="2"/>
  <c r="R95" i="2"/>
  <c r="Q95" i="2"/>
  <c r="P95" i="2"/>
  <c r="O95" i="2"/>
  <c r="N95" i="2"/>
  <c r="M95" i="2"/>
  <c r="L95" i="2"/>
  <c r="K95" i="2"/>
  <c r="J95" i="2"/>
  <c r="I95" i="2"/>
  <c r="X94" i="2"/>
  <c r="W94" i="2"/>
  <c r="V94" i="2"/>
  <c r="U94" i="2"/>
  <c r="T94" i="2"/>
  <c r="S94" i="2"/>
  <c r="R94" i="2"/>
  <c r="Q94" i="2"/>
  <c r="P94" i="2"/>
  <c r="O94" i="2"/>
  <c r="N94" i="2"/>
  <c r="M94" i="2"/>
  <c r="L94" i="2"/>
  <c r="K94" i="2"/>
  <c r="J94" i="2"/>
  <c r="I94" i="2"/>
  <c r="X93" i="2"/>
  <c r="W93" i="2"/>
  <c r="V93" i="2"/>
  <c r="U93" i="2"/>
  <c r="U97" i="2" s="1"/>
  <c r="T93" i="2"/>
  <c r="S93" i="2"/>
  <c r="R93" i="2"/>
  <c r="Q93" i="2"/>
  <c r="Q97" i="2" s="1"/>
  <c r="P93" i="2"/>
  <c r="O93" i="2"/>
  <c r="N93" i="2"/>
  <c r="M93" i="2"/>
  <c r="M98" i="2" s="1"/>
  <c r="L93" i="2"/>
  <c r="K93" i="2"/>
  <c r="J93" i="2"/>
  <c r="I93" i="2"/>
  <c r="X50" i="2"/>
  <c r="V50" i="2"/>
  <c r="R50" i="2"/>
  <c r="N50" i="2"/>
  <c r="F50" i="2"/>
  <c r="W49" i="2"/>
  <c r="U49" i="2"/>
  <c r="S49" i="2"/>
  <c r="Q49" i="2"/>
  <c r="O49" i="2"/>
  <c r="K49" i="2"/>
  <c r="F49" i="2"/>
  <c r="V49" i="2" s="1"/>
  <c r="V48" i="2"/>
  <c r="R48" i="2"/>
  <c r="N48" i="2"/>
  <c r="F48" i="2"/>
  <c r="W47" i="2"/>
  <c r="U47" i="2"/>
  <c r="S47" i="2"/>
  <c r="Q47" i="2"/>
  <c r="O47" i="2"/>
  <c r="K47" i="2"/>
  <c r="F47" i="2"/>
  <c r="T47" i="2" s="1"/>
  <c r="V46" i="2"/>
  <c r="T46" i="2"/>
  <c r="R46" i="2"/>
  <c r="N46" i="2"/>
  <c r="F46" i="2"/>
  <c r="W45" i="2"/>
  <c r="U45" i="2"/>
  <c r="S45" i="2"/>
  <c r="Q45" i="2"/>
  <c r="O45" i="2"/>
  <c r="K45" i="2"/>
  <c r="F45" i="2"/>
  <c r="R45" i="2" s="1"/>
  <c r="V44" i="2"/>
  <c r="R44" i="2"/>
  <c r="N44" i="2"/>
  <c r="F44" i="2"/>
  <c r="W43" i="2"/>
  <c r="U43" i="2"/>
  <c r="S43" i="2"/>
  <c r="Q43" i="2"/>
  <c r="O43" i="2"/>
  <c r="K43" i="2"/>
  <c r="F43" i="2"/>
  <c r="P43" i="2" s="1"/>
  <c r="V42" i="2"/>
  <c r="R42" i="2"/>
  <c r="P42" i="2"/>
  <c r="N42" i="2"/>
  <c r="F42" i="2"/>
  <c r="W41" i="2"/>
  <c r="U41" i="2"/>
  <c r="S41" i="2"/>
  <c r="Q41" i="2"/>
  <c r="O41" i="2"/>
  <c r="K41" i="2"/>
  <c r="F41" i="2"/>
  <c r="N41" i="2" s="1"/>
  <c r="V40" i="2"/>
  <c r="R40" i="2"/>
  <c r="N40" i="2"/>
  <c r="F40" i="2"/>
  <c r="W39" i="2"/>
  <c r="S39" i="2"/>
  <c r="Q39" i="2"/>
  <c r="O39" i="2"/>
  <c r="M39" i="2"/>
  <c r="K39" i="2"/>
  <c r="I39" i="2"/>
  <c r="F39" i="2"/>
  <c r="M49" i="2" s="1"/>
  <c r="L38" i="2"/>
  <c r="F38" i="2"/>
  <c r="W38" i="2" s="1"/>
  <c r="W37" i="2"/>
  <c r="U37" i="2"/>
  <c r="S37" i="2"/>
  <c r="Q37" i="2"/>
  <c r="O37" i="2"/>
  <c r="M37" i="2"/>
  <c r="K37" i="2"/>
  <c r="I37" i="2"/>
  <c r="F37" i="2"/>
  <c r="X37" i="2" s="1"/>
  <c r="J36" i="2"/>
  <c r="F36" i="2"/>
  <c r="W36" i="2" s="1"/>
  <c r="W35" i="2"/>
  <c r="U35" i="2"/>
  <c r="S35" i="2"/>
  <c r="Q35" i="2"/>
  <c r="O35" i="2"/>
  <c r="M35" i="2"/>
  <c r="K35" i="2"/>
  <c r="I35" i="2"/>
  <c r="F35" i="2"/>
  <c r="E46" i="1"/>
  <c r="E45" i="1"/>
  <c r="E44" i="1"/>
  <c r="E43" i="1"/>
  <c r="F39" i="1"/>
  <c r="E39" i="1"/>
  <c r="D39" i="1"/>
  <c r="C39" i="1"/>
  <c r="B39" i="1"/>
  <c r="F38" i="1"/>
  <c r="K65" i="1" s="1"/>
  <c r="E38" i="1"/>
  <c r="J64" i="1" s="1"/>
  <c r="D38" i="1"/>
  <c r="I63" i="1" s="1"/>
  <c r="C38" i="1"/>
  <c r="H66" i="1" s="1"/>
  <c r="B38" i="1"/>
  <c r="G65" i="1" s="1"/>
  <c r="E16" i="1"/>
  <c r="E15" i="1"/>
  <c r="E14" i="1"/>
  <c r="E13" i="1"/>
  <c r="E12" i="1"/>
  <c r="F9" i="1"/>
  <c r="E9" i="1"/>
  <c r="J34" i="1" s="1"/>
  <c r="D9" i="1"/>
  <c r="C9" i="1"/>
  <c r="H34" i="1" s="1"/>
  <c r="B9" i="1"/>
  <c r="F8" i="1"/>
  <c r="E8" i="1"/>
  <c r="D8" i="1"/>
  <c r="C8" i="1"/>
  <c r="B8" i="1"/>
  <c r="L36" i="2" l="1"/>
  <c r="N36" i="2"/>
  <c r="P36" i="2"/>
  <c r="R36" i="2"/>
  <c r="T36" i="2"/>
  <c r="V36" i="2"/>
  <c r="X36" i="2"/>
  <c r="J38" i="2"/>
  <c r="N38" i="2"/>
  <c r="P38" i="2"/>
  <c r="R38" i="2"/>
  <c r="T38" i="2"/>
  <c r="V38" i="2"/>
  <c r="X38" i="2"/>
  <c r="J40" i="2"/>
  <c r="J42" i="2"/>
  <c r="J44" i="2"/>
  <c r="J46" i="2"/>
  <c r="J48" i="2"/>
  <c r="J50" i="2"/>
  <c r="I50" i="2"/>
  <c r="I48" i="2"/>
  <c r="I46" i="2"/>
  <c r="I44" i="2"/>
  <c r="I42" i="2"/>
  <c r="I40" i="2"/>
  <c r="J35" i="2"/>
  <c r="L35" i="2"/>
  <c r="N35" i="2"/>
  <c r="P35" i="2"/>
  <c r="R35" i="2"/>
  <c r="T35" i="2"/>
  <c r="V35" i="2"/>
  <c r="X35" i="2"/>
  <c r="I36" i="2"/>
  <c r="K36" i="2"/>
  <c r="M36" i="2"/>
  <c r="O36" i="2"/>
  <c r="Q36" i="2"/>
  <c r="S36" i="2"/>
  <c r="U36" i="2"/>
  <c r="J37" i="2"/>
  <c r="L37" i="2"/>
  <c r="N37" i="2"/>
  <c r="P37" i="2"/>
  <c r="R37" i="2"/>
  <c r="T37" i="2"/>
  <c r="V37" i="2"/>
  <c r="I38" i="2"/>
  <c r="K38" i="2"/>
  <c r="M38" i="2"/>
  <c r="O38" i="2"/>
  <c r="Q38" i="2"/>
  <c r="S38" i="2"/>
  <c r="U38" i="2"/>
  <c r="J39" i="2"/>
  <c r="L39" i="2"/>
  <c r="N39" i="2"/>
  <c r="P39" i="2"/>
  <c r="R39" i="2"/>
  <c r="U39" i="2"/>
  <c r="W40" i="2"/>
  <c r="U40" i="2"/>
  <c r="S40" i="2"/>
  <c r="Q40" i="2"/>
  <c r="O40" i="2"/>
  <c r="M40" i="2"/>
  <c r="K40" i="2"/>
  <c r="L40" i="2"/>
  <c r="P40" i="2"/>
  <c r="T40" i="2"/>
  <c r="X40" i="2"/>
  <c r="I41" i="2"/>
  <c r="M41" i="2"/>
  <c r="W42" i="2"/>
  <c r="U42" i="2"/>
  <c r="S42" i="2"/>
  <c r="Q42" i="2"/>
  <c r="O42" i="2"/>
  <c r="M42" i="2"/>
  <c r="K42" i="2"/>
  <c r="P41" i="2"/>
  <c r="L42" i="2"/>
  <c r="T42" i="2"/>
  <c r="X42" i="2"/>
  <c r="I43" i="2"/>
  <c r="M43" i="2"/>
  <c r="W44" i="2"/>
  <c r="U44" i="2"/>
  <c r="S44" i="2"/>
  <c r="Q44" i="2"/>
  <c r="O44" i="2"/>
  <c r="M44" i="2"/>
  <c r="K44" i="2"/>
  <c r="R43" i="2"/>
  <c r="R41" i="2"/>
  <c r="L44" i="2"/>
  <c r="P44" i="2"/>
  <c r="T44" i="2"/>
  <c r="X44" i="2"/>
  <c r="I45" i="2"/>
  <c r="M45" i="2"/>
  <c r="W46" i="2"/>
  <c r="U46" i="2"/>
  <c r="S46" i="2"/>
  <c r="Q46" i="2"/>
  <c r="O46" i="2"/>
  <c r="M46" i="2"/>
  <c r="K46" i="2"/>
  <c r="T45" i="2"/>
  <c r="T43" i="2"/>
  <c r="T41" i="2"/>
  <c r="T39" i="2"/>
  <c r="L46" i="2"/>
  <c r="P46" i="2"/>
  <c r="X46" i="2"/>
  <c r="I47" i="2"/>
  <c r="M47" i="2"/>
  <c r="W48" i="2"/>
  <c r="U48" i="2"/>
  <c r="S48" i="2"/>
  <c r="Q48" i="2"/>
  <c r="O48" i="2"/>
  <c r="M48" i="2"/>
  <c r="K48" i="2"/>
  <c r="V47" i="2"/>
  <c r="V45" i="2"/>
  <c r="V43" i="2"/>
  <c r="V41" i="2"/>
  <c r="V39" i="2"/>
  <c r="L48" i="2"/>
  <c r="P48" i="2"/>
  <c r="T48" i="2"/>
  <c r="X48" i="2"/>
  <c r="I49" i="2"/>
  <c r="W50" i="2"/>
  <c r="U50" i="2"/>
  <c r="S50" i="2"/>
  <c r="Q50" i="2"/>
  <c r="O50" i="2"/>
  <c r="M50" i="2"/>
  <c r="K50" i="2"/>
  <c r="X49" i="2"/>
  <c r="X47" i="2"/>
  <c r="X45" i="2"/>
  <c r="X43" i="2"/>
  <c r="X41" i="2"/>
  <c r="X39" i="2"/>
  <c r="L50" i="2"/>
  <c r="P50" i="2"/>
  <c r="T50" i="2"/>
  <c r="P98" i="2"/>
  <c r="R98" i="2"/>
  <c r="T98" i="2"/>
  <c r="V98" i="2"/>
  <c r="X98" i="2"/>
  <c r="L96" i="2"/>
  <c r="P96" i="2"/>
  <c r="T96" i="2"/>
  <c r="X96" i="2"/>
  <c r="L97" i="2"/>
  <c r="P97" i="2"/>
  <c r="T97" i="2"/>
  <c r="X97" i="2"/>
  <c r="L98" i="2"/>
  <c r="Q98" i="2"/>
  <c r="J41" i="2"/>
  <c r="L41" i="2"/>
  <c r="J43" i="2"/>
  <c r="L43" i="2"/>
  <c r="N43" i="2"/>
  <c r="J45" i="2"/>
  <c r="L45" i="2"/>
  <c r="N45" i="2"/>
  <c r="P45" i="2"/>
  <c r="J47" i="2"/>
  <c r="L47" i="2"/>
  <c r="N47" i="2"/>
  <c r="P47" i="2"/>
  <c r="R47" i="2"/>
  <c r="J49" i="2"/>
  <c r="L49" i="2"/>
  <c r="N49" i="2"/>
  <c r="P49" i="2"/>
  <c r="R49" i="2"/>
  <c r="T49" i="2"/>
  <c r="I96" i="2"/>
  <c r="I99" i="2" s="1"/>
  <c r="K96" i="2"/>
  <c r="M96" i="2"/>
  <c r="O96" i="2"/>
  <c r="Q96" i="2"/>
  <c r="S96" i="2"/>
  <c r="U96" i="2"/>
  <c r="W96" i="2"/>
  <c r="I97" i="2"/>
  <c r="K97" i="2"/>
  <c r="M97" i="2"/>
  <c r="O97" i="2"/>
  <c r="S97" i="2"/>
  <c r="W97" i="2"/>
  <c r="I98" i="2"/>
  <c r="K98" i="2"/>
  <c r="O98" i="2"/>
  <c r="S98" i="2"/>
  <c r="W98" i="2"/>
  <c r="K99" i="2"/>
  <c r="S99" i="2"/>
  <c r="K100" i="2"/>
  <c r="S100" i="2"/>
  <c r="K101" i="2"/>
  <c r="S101" i="2"/>
  <c r="G34" i="1"/>
  <c r="G33" i="1"/>
  <c r="G32" i="1"/>
  <c r="G31" i="1"/>
  <c r="G30" i="1"/>
  <c r="G29" i="1"/>
  <c r="G28" i="1"/>
  <c r="G27" i="1"/>
  <c r="G12" i="1" s="1"/>
  <c r="G26" i="1"/>
  <c r="G25" i="1"/>
  <c r="G24" i="1"/>
  <c r="G15" i="1" s="1"/>
  <c r="G23" i="1"/>
  <c r="G22" i="1"/>
  <c r="G14" i="1" s="1"/>
  <c r="G21" i="1"/>
  <c r="G20" i="1"/>
  <c r="G13" i="1" s="1"/>
  <c r="G19" i="1"/>
  <c r="G16" i="1" s="1"/>
  <c r="I34" i="1"/>
  <c r="I33" i="1"/>
  <c r="I32" i="1"/>
  <c r="I31" i="1"/>
  <c r="I30" i="1"/>
  <c r="I29" i="1"/>
  <c r="I28" i="1"/>
  <c r="I27" i="1"/>
  <c r="I12" i="1" s="1"/>
  <c r="I26" i="1"/>
  <c r="I25" i="1"/>
  <c r="I24" i="1"/>
  <c r="I15" i="1" s="1"/>
  <c r="I23" i="1"/>
  <c r="I22" i="1"/>
  <c r="I14" i="1" s="1"/>
  <c r="I21" i="1"/>
  <c r="I20" i="1"/>
  <c r="I13" i="1" s="1"/>
  <c r="I19" i="1"/>
  <c r="I16" i="1" s="1"/>
  <c r="K34" i="1"/>
  <c r="K33" i="1"/>
  <c r="K32" i="1"/>
  <c r="K31" i="1"/>
  <c r="K30" i="1"/>
  <c r="K29" i="1"/>
  <c r="K28" i="1"/>
  <c r="K27" i="1"/>
  <c r="K12" i="1" s="1"/>
  <c r="K26" i="1"/>
  <c r="K25" i="1"/>
  <c r="K24" i="1"/>
  <c r="K15" i="1" s="1"/>
  <c r="K23" i="1"/>
  <c r="K22" i="1"/>
  <c r="K14" i="1" s="1"/>
  <c r="K21" i="1"/>
  <c r="K20" i="1"/>
  <c r="K13" i="1" s="1"/>
  <c r="K19" i="1"/>
  <c r="K16" i="1" s="1"/>
  <c r="J19" i="1"/>
  <c r="J16" i="1" s="1"/>
  <c r="J20" i="1"/>
  <c r="J13" i="1" s="1"/>
  <c r="J21" i="1"/>
  <c r="J22" i="1"/>
  <c r="J14" i="1" s="1"/>
  <c r="J23" i="1"/>
  <c r="J24" i="1"/>
  <c r="J15" i="1" s="1"/>
  <c r="J25" i="1"/>
  <c r="J26" i="1"/>
  <c r="J27" i="1"/>
  <c r="J12" i="1" s="1"/>
  <c r="J28" i="1"/>
  <c r="J29" i="1"/>
  <c r="J30" i="1"/>
  <c r="J31" i="1"/>
  <c r="J32" i="1"/>
  <c r="J33" i="1"/>
  <c r="H19" i="1"/>
  <c r="H16" i="1" s="1"/>
  <c r="H20" i="1"/>
  <c r="H13" i="1" s="1"/>
  <c r="H21" i="1"/>
  <c r="H22" i="1"/>
  <c r="H14" i="1" s="1"/>
  <c r="H23" i="1"/>
  <c r="H24" i="1"/>
  <c r="H15" i="1" s="1"/>
  <c r="H25" i="1"/>
  <c r="H26" i="1"/>
  <c r="H27" i="1"/>
  <c r="H12" i="1" s="1"/>
  <c r="H28" i="1"/>
  <c r="H29" i="1"/>
  <c r="H30" i="1"/>
  <c r="H31" i="1"/>
  <c r="H32" i="1"/>
  <c r="H33" i="1"/>
  <c r="G51" i="1"/>
  <c r="G43" i="1" s="1"/>
  <c r="I51" i="1"/>
  <c r="I43" i="1" s="1"/>
  <c r="K51" i="1"/>
  <c r="K43" i="1" s="1"/>
  <c r="J52" i="1"/>
  <c r="J45" i="1" s="1"/>
  <c r="G53" i="1"/>
  <c r="G46" i="1" s="1"/>
  <c r="K53" i="1"/>
  <c r="K46" i="1" s="1"/>
  <c r="H54" i="1"/>
  <c r="I55" i="1"/>
  <c r="J56" i="1"/>
  <c r="G57" i="1"/>
  <c r="K57" i="1"/>
  <c r="H58" i="1"/>
  <c r="I59" i="1"/>
  <c r="I44" i="1" s="1"/>
  <c r="J60" i="1"/>
  <c r="G61" i="1"/>
  <c r="K61" i="1"/>
  <c r="H62" i="1"/>
  <c r="H65" i="1"/>
  <c r="H63" i="1"/>
  <c r="H61" i="1"/>
  <c r="H59" i="1"/>
  <c r="H44" i="1" s="1"/>
  <c r="H57" i="1"/>
  <c r="H55" i="1"/>
  <c r="H53" i="1"/>
  <c r="H46" i="1" s="1"/>
  <c r="J65" i="1"/>
  <c r="J63" i="1"/>
  <c r="J61" i="1"/>
  <c r="J59" i="1"/>
  <c r="J44" i="1" s="1"/>
  <c r="J57" i="1"/>
  <c r="J55" i="1"/>
  <c r="J53" i="1"/>
  <c r="J46" i="1" s="1"/>
  <c r="G66" i="1"/>
  <c r="G64" i="1"/>
  <c r="G62" i="1"/>
  <c r="G60" i="1"/>
  <c r="G58" i="1"/>
  <c r="G56" i="1"/>
  <c r="G54" i="1"/>
  <c r="G52" i="1"/>
  <c r="G45" i="1" s="1"/>
  <c r="I66" i="1"/>
  <c r="I64" i="1"/>
  <c r="I62" i="1"/>
  <c r="I60" i="1"/>
  <c r="I58" i="1"/>
  <c r="I56" i="1"/>
  <c r="I54" i="1"/>
  <c r="I52" i="1"/>
  <c r="I45" i="1" s="1"/>
  <c r="K66" i="1"/>
  <c r="K64" i="1"/>
  <c r="K62" i="1"/>
  <c r="K60" i="1"/>
  <c r="K58" i="1"/>
  <c r="K56" i="1"/>
  <c r="K54" i="1"/>
  <c r="K52" i="1"/>
  <c r="K45" i="1" s="1"/>
  <c r="H51" i="1"/>
  <c r="H43" i="1" s="1"/>
  <c r="J51" i="1"/>
  <c r="J43" i="1" s="1"/>
  <c r="H52" i="1"/>
  <c r="H45" i="1" s="1"/>
  <c r="I53" i="1"/>
  <c r="I46" i="1" s="1"/>
  <c r="J54" i="1"/>
  <c r="G55" i="1"/>
  <c r="K55" i="1"/>
  <c r="H56" i="1"/>
  <c r="I57" i="1"/>
  <c r="J58" i="1"/>
  <c r="G59" i="1"/>
  <c r="G44" i="1" s="1"/>
  <c r="K59" i="1"/>
  <c r="K44" i="1" s="1"/>
  <c r="H60" i="1"/>
  <c r="I61" i="1"/>
  <c r="J62" i="1"/>
  <c r="G63" i="1"/>
  <c r="K63" i="1"/>
  <c r="H64" i="1"/>
  <c r="I65" i="1"/>
  <c r="J66" i="1"/>
  <c r="Q101" i="2" l="1"/>
  <c r="Q100" i="2"/>
  <c r="Q99" i="2"/>
  <c r="X100" i="2"/>
  <c r="X102" i="2"/>
  <c r="V99" i="2"/>
  <c r="V101" i="2"/>
  <c r="T100" i="2"/>
  <c r="R99" i="2"/>
  <c r="R101" i="2"/>
  <c r="P100" i="2"/>
  <c r="N100" i="2"/>
  <c r="L100" i="2"/>
  <c r="J100" i="2"/>
  <c r="X54" i="2"/>
  <c r="W56" i="2"/>
  <c r="W54" i="2"/>
  <c r="X56" i="2"/>
  <c r="W57" i="2"/>
  <c r="W101" i="2"/>
  <c r="O101" i="2"/>
  <c r="W100" i="2"/>
  <c r="O100" i="2"/>
  <c r="W99" i="2"/>
  <c r="O99" i="2"/>
  <c r="U102" i="2"/>
  <c r="U101" i="2"/>
  <c r="U100" i="2"/>
  <c r="U99" i="2"/>
  <c r="M102" i="2"/>
  <c r="M101" i="2"/>
  <c r="M100" i="2"/>
  <c r="M99" i="2"/>
  <c r="I101" i="2"/>
  <c r="I100" i="2"/>
  <c r="X99" i="2"/>
  <c r="X104" i="2" s="1"/>
  <c r="X101" i="2"/>
  <c r="X103" i="2"/>
  <c r="X105" i="2"/>
  <c r="V100" i="2"/>
  <c r="V102" i="2"/>
  <c r="T99" i="2"/>
  <c r="T101" i="2"/>
  <c r="R100" i="2"/>
  <c r="R102" i="2"/>
  <c r="P99" i="2"/>
  <c r="P101" i="2"/>
  <c r="N99" i="2"/>
  <c r="N102" i="2" s="1"/>
  <c r="N101" i="2"/>
  <c r="L99" i="2"/>
  <c r="L101" i="2"/>
  <c r="L103" i="2"/>
  <c r="J99" i="2"/>
  <c r="J104" i="2" s="1"/>
  <c r="J101" i="2"/>
  <c r="J103" i="2"/>
  <c r="X57" i="2"/>
  <c r="X55" i="2"/>
  <c r="W55" i="2"/>
  <c r="M66" i="1"/>
  <c r="M64" i="1"/>
  <c r="M62" i="1"/>
  <c r="M60" i="1"/>
  <c r="M58" i="1"/>
  <c r="M56" i="1"/>
  <c r="M54" i="1"/>
  <c r="M52" i="1"/>
  <c r="M65" i="1"/>
  <c r="M61" i="1"/>
  <c r="M57" i="1"/>
  <c r="M53" i="1"/>
  <c r="M63" i="1"/>
  <c r="M59" i="1"/>
  <c r="M55" i="1"/>
  <c r="M51" i="1"/>
  <c r="P34" i="1"/>
  <c r="P33" i="1"/>
  <c r="P32" i="1"/>
  <c r="P31" i="1"/>
  <c r="P30" i="1"/>
  <c r="P29" i="1"/>
  <c r="P28" i="1"/>
  <c r="P27" i="1"/>
  <c r="P26" i="1"/>
  <c r="P25" i="1"/>
  <c r="P24" i="1"/>
  <c r="P23" i="1"/>
  <c r="P22" i="1"/>
  <c r="P21" i="1"/>
  <c r="P20" i="1"/>
  <c r="P19" i="1"/>
  <c r="L34" i="1"/>
  <c r="L33" i="1"/>
  <c r="L32" i="1"/>
  <c r="L31" i="1"/>
  <c r="L30" i="1"/>
  <c r="L29" i="1"/>
  <c r="L28" i="1"/>
  <c r="L27" i="1"/>
  <c r="L26" i="1"/>
  <c r="L25" i="1"/>
  <c r="L24" i="1"/>
  <c r="L23" i="1"/>
  <c r="L22" i="1"/>
  <c r="L21" i="1"/>
  <c r="L20" i="1"/>
  <c r="L19" i="1"/>
  <c r="N65" i="1"/>
  <c r="N63" i="1"/>
  <c r="N61" i="1"/>
  <c r="N59" i="1"/>
  <c r="N57" i="1"/>
  <c r="N55" i="1"/>
  <c r="N53" i="1"/>
  <c r="N51" i="1"/>
  <c r="N66" i="1"/>
  <c r="N62" i="1"/>
  <c r="N58" i="1"/>
  <c r="N54" i="1"/>
  <c r="N64" i="1"/>
  <c r="N60" i="1"/>
  <c r="N56" i="1"/>
  <c r="N52" i="1"/>
  <c r="O66" i="1"/>
  <c r="O64" i="1"/>
  <c r="O62" i="1"/>
  <c r="O60" i="1"/>
  <c r="O58" i="1"/>
  <c r="O56" i="1"/>
  <c r="O54" i="1"/>
  <c r="O52" i="1"/>
  <c r="O63" i="1"/>
  <c r="O59" i="1"/>
  <c r="O55" i="1"/>
  <c r="O51" i="1"/>
  <c r="O65" i="1"/>
  <c r="O61" i="1"/>
  <c r="O57" i="1"/>
  <c r="O53" i="1"/>
  <c r="L65" i="1"/>
  <c r="P65" i="1" s="1"/>
  <c r="Q65" i="1" s="1"/>
  <c r="L63" i="1"/>
  <c r="P63" i="1" s="1"/>
  <c r="Q63" i="1" s="1"/>
  <c r="L61" i="1"/>
  <c r="L59" i="1"/>
  <c r="P59" i="1" s="1"/>
  <c r="Q59" i="1" s="1"/>
  <c r="L57" i="1"/>
  <c r="P57" i="1" s="1"/>
  <c r="Q57" i="1" s="1"/>
  <c r="L55" i="1"/>
  <c r="P55" i="1" s="1"/>
  <c r="Q55" i="1" s="1"/>
  <c r="L53" i="1"/>
  <c r="L64" i="1"/>
  <c r="P64" i="1" s="1"/>
  <c r="Q64" i="1" s="1"/>
  <c r="L60" i="1"/>
  <c r="L56" i="1"/>
  <c r="P56" i="1" s="1"/>
  <c r="Q56" i="1" s="1"/>
  <c r="L52" i="1"/>
  <c r="L51" i="1"/>
  <c r="P51" i="1" s="1"/>
  <c r="L66" i="1"/>
  <c r="P66" i="1" s="1"/>
  <c r="Q66" i="1" s="1"/>
  <c r="L62" i="1"/>
  <c r="P62" i="1" s="1"/>
  <c r="Q62" i="1" s="1"/>
  <c r="L58" i="1"/>
  <c r="P58" i="1" s="1"/>
  <c r="Q58" i="1" s="1"/>
  <c r="L54" i="1"/>
  <c r="P54" i="1" s="1"/>
  <c r="Q54" i="1" s="1"/>
  <c r="M34" i="1"/>
  <c r="M33" i="1"/>
  <c r="M32" i="1"/>
  <c r="M31" i="1"/>
  <c r="M30" i="1"/>
  <c r="M29" i="1"/>
  <c r="M28" i="1"/>
  <c r="M27" i="1"/>
  <c r="M26" i="1"/>
  <c r="M25" i="1"/>
  <c r="M24" i="1"/>
  <c r="M23" i="1"/>
  <c r="M22" i="1"/>
  <c r="M21" i="1"/>
  <c r="M20" i="1"/>
  <c r="M19" i="1"/>
  <c r="N34" i="1"/>
  <c r="N33" i="1"/>
  <c r="N32" i="1"/>
  <c r="N31" i="1"/>
  <c r="N30" i="1"/>
  <c r="N29" i="1"/>
  <c r="N28" i="1"/>
  <c r="N27" i="1"/>
  <c r="N26" i="1"/>
  <c r="N25" i="1"/>
  <c r="N24" i="1"/>
  <c r="N23" i="1"/>
  <c r="N22" i="1"/>
  <c r="N21" i="1"/>
  <c r="N20" i="1"/>
  <c r="N19" i="1"/>
  <c r="O34" i="1"/>
  <c r="O33" i="1"/>
  <c r="O32" i="1"/>
  <c r="O31" i="1"/>
  <c r="O30" i="1"/>
  <c r="O29" i="1"/>
  <c r="O28" i="1"/>
  <c r="O27" i="1"/>
  <c r="O26" i="1"/>
  <c r="O25" i="1"/>
  <c r="O24" i="1"/>
  <c r="O23" i="1"/>
  <c r="O22" i="1"/>
  <c r="O21" i="1"/>
  <c r="O20" i="1"/>
  <c r="O19" i="1"/>
  <c r="V105" i="2" l="1"/>
  <c r="X107" i="2"/>
  <c r="X61" i="2"/>
  <c r="N103" i="2"/>
  <c r="P103" i="2"/>
  <c r="R104" i="2"/>
  <c r="T103" i="2"/>
  <c r="S102" i="2"/>
  <c r="S103" i="2"/>
  <c r="S104" i="2"/>
  <c r="S105" i="2"/>
  <c r="V104" i="2"/>
  <c r="I103" i="2"/>
  <c r="M103" i="2"/>
  <c r="U103" i="2"/>
  <c r="U105" i="2"/>
  <c r="O102" i="2"/>
  <c r="O103" i="2"/>
  <c r="O104" i="2"/>
  <c r="W58" i="2"/>
  <c r="X59" i="2"/>
  <c r="X58" i="2"/>
  <c r="X62" i="2" s="1"/>
  <c r="J102" i="2"/>
  <c r="J106" i="2" s="1"/>
  <c r="L104" i="2"/>
  <c r="P104" i="2"/>
  <c r="R105" i="2"/>
  <c r="T104" i="2"/>
  <c r="L107" i="2" s="1"/>
  <c r="X108" i="2"/>
  <c r="Q102" i="2"/>
  <c r="Q107" i="2" s="1"/>
  <c r="Q104" i="2"/>
  <c r="W61" i="2"/>
  <c r="X60" i="2"/>
  <c r="W65" i="2" s="1"/>
  <c r="K102" i="2"/>
  <c r="K103" i="2"/>
  <c r="J107" i="2" s="1"/>
  <c r="K104" i="2"/>
  <c r="K105" i="2"/>
  <c r="I102" i="2"/>
  <c r="I105" i="2" s="1"/>
  <c r="I104" i="2"/>
  <c r="M104" i="2"/>
  <c r="U104" i="2"/>
  <c r="W102" i="2"/>
  <c r="W103" i="2"/>
  <c r="W106" i="2" s="1"/>
  <c r="W104" i="2"/>
  <c r="W105" i="2"/>
  <c r="W108" i="2" s="1"/>
  <c r="W107" i="2"/>
  <c r="W60" i="2"/>
  <c r="W64" i="2"/>
  <c r="S108" i="2"/>
  <c r="W59" i="2"/>
  <c r="W63" i="2"/>
  <c r="L106" i="2"/>
  <c r="L102" i="2"/>
  <c r="L105" i="2" s="1"/>
  <c r="N104" i="2"/>
  <c r="P106" i="2"/>
  <c r="P102" i="2"/>
  <c r="R107" i="2"/>
  <c r="R103" i="2"/>
  <c r="T106" i="2"/>
  <c r="T102" i="2"/>
  <c r="T105" i="2" s="1"/>
  <c r="V107" i="2"/>
  <c r="V103" i="2"/>
  <c r="X106" i="2"/>
  <c r="Q103" i="2"/>
  <c r="Q105" i="2"/>
  <c r="Q51" i="1"/>
  <c r="Q19" i="1"/>
  <c r="Q21" i="1"/>
  <c r="R21" i="1" s="1"/>
  <c r="Q23" i="1"/>
  <c r="R23" i="1" s="1"/>
  <c r="Q25" i="1"/>
  <c r="R25" i="1" s="1"/>
  <c r="Q27" i="1"/>
  <c r="R27" i="1" s="1"/>
  <c r="Q29" i="1"/>
  <c r="R29" i="1" s="1"/>
  <c r="Q31" i="1"/>
  <c r="R31" i="1" s="1"/>
  <c r="Q33" i="1"/>
  <c r="R33" i="1" s="1"/>
  <c r="P52" i="1"/>
  <c r="Q52" i="1" s="1"/>
  <c r="P60" i="1"/>
  <c r="Q60" i="1" s="1"/>
  <c r="P53" i="1"/>
  <c r="Q53" i="1" s="1"/>
  <c r="P61" i="1"/>
  <c r="Q61" i="1" s="1"/>
  <c r="Q20" i="1"/>
  <c r="R20" i="1" s="1"/>
  <c r="Q22" i="1"/>
  <c r="R22" i="1" s="1"/>
  <c r="Q24" i="1"/>
  <c r="R24" i="1" s="1"/>
  <c r="Q26" i="1"/>
  <c r="R26" i="1" s="1"/>
  <c r="Q28" i="1"/>
  <c r="R28" i="1" s="1"/>
  <c r="Q30" i="1"/>
  <c r="R30" i="1" s="1"/>
  <c r="Q32" i="1"/>
  <c r="R32" i="1" s="1"/>
  <c r="Q34" i="1"/>
  <c r="R34" i="1" s="1"/>
  <c r="U106" i="2" l="1"/>
  <c r="M106" i="2"/>
  <c r="K107" i="2"/>
  <c r="Q106" i="2"/>
  <c r="W62" i="2"/>
  <c r="O105" i="2"/>
  <c r="M105" i="2"/>
  <c r="I107" i="2"/>
  <c r="S107" i="2"/>
  <c r="N107" i="2"/>
  <c r="J105" i="2"/>
  <c r="V108" i="2"/>
  <c r="R108" i="2"/>
  <c r="U107" i="2"/>
  <c r="U108" i="2"/>
  <c r="P107" i="2"/>
  <c r="P105" i="2"/>
  <c r="P108" i="2" s="1"/>
  <c r="X65" i="2"/>
  <c r="V106" i="2"/>
  <c r="I106" i="2"/>
  <c r="K106" i="2"/>
  <c r="Q108" i="2"/>
  <c r="T108" i="2"/>
  <c r="N106" i="2"/>
  <c r="X66" i="2"/>
  <c r="X63" i="2"/>
  <c r="W67" i="2" s="1"/>
  <c r="W66" i="2"/>
  <c r="O106" i="2"/>
  <c r="O108" i="2"/>
  <c r="S106" i="2"/>
  <c r="R106" i="2"/>
  <c r="X64" i="2"/>
  <c r="X69" i="2" s="1"/>
  <c r="T107" i="2"/>
  <c r="O107" i="2"/>
  <c r="M107" i="2"/>
  <c r="N105" i="2"/>
  <c r="N108" i="2" s="1"/>
  <c r="R19" i="1"/>
  <c r="Q15" i="1"/>
  <c r="Q46" i="1"/>
  <c r="L108" i="2" l="1"/>
  <c r="X68" i="2"/>
  <c r="W68" i="2"/>
  <c r="J108" i="2"/>
  <c r="W69" i="2"/>
  <c r="X67" i="2"/>
  <c r="G118" i="2" s="1"/>
  <c r="I108" i="2"/>
  <c r="M108" i="2"/>
  <c r="K108" i="2"/>
</calcChain>
</file>

<file path=xl/sharedStrings.xml><?xml version="1.0" encoding="utf-8"?>
<sst xmlns="http://schemas.openxmlformats.org/spreadsheetml/2006/main" count="103" uniqueCount="47">
  <si>
    <t xml:space="preserve">The following data is ratings of importance of features of airline customers.  '1' represents 'Most Important' while '5' represents 'Least Important'.  </t>
  </si>
  <si>
    <t xml:space="preserve">     Use this information to conduct a cluster analysis using five clusters.  (15 points)</t>
  </si>
  <si>
    <t xml:space="preserve">     Do a four cluster analysis and determine which should be used and why. (5 points)</t>
  </si>
  <si>
    <t xml:space="preserve">     Provide a description of each cluster and a recommendation of how an airline should market to each segment.  (10 points)</t>
  </si>
  <si>
    <t>Mean</t>
  </si>
  <si>
    <t>Std dev</t>
  </si>
  <si>
    <t xml:space="preserve">Column </t>
  </si>
  <si>
    <t>Customer</t>
  </si>
  <si>
    <t>Cluster</t>
  </si>
  <si>
    <t>Z Cost</t>
  </si>
  <si>
    <t>Z Flight Availability</t>
  </si>
  <si>
    <t>Z Liklihood of delays</t>
  </si>
  <si>
    <t>Z Loyalty Program</t>
  </si>
  <si>
    <t>Z Tiered Seating</t>
  </si>
  <si>
    <t>Used Evolutionary Solver to change five cluster variables and solved for the minimal sum of distance measure</t>
  </si>
  <si>
    <t>Sum Dis^2</t>
  </si>
  <si>
    <t>IMPORTANCE FACTORS</t>
  </si>
  <si>
    <t>Cost</t>
  </si>
  <si>
    <t>Flight Availability</t>
  </si>
  <si>
    <t>Liklihood of delays</t>
  </si>
  <si>
    <t>Loyalty Program</t>
  </si>
  <si>
    <t>Tiered Seating</t>
  </si>
  <si>
    <t>Sum of diff. Cluster 1</t>
  </si>
  <si>
    <t>Sum of diff. Cluster 2</t>
  </si>
  <si>
    <t>Sum of diff. Cluster 3</t>
  </si>
  <si>
    <t>Sum of diff. Cluster 4</t>
  </si>
  <si>
    <t>Sum of diff. Cluster 5</t>
  </si>
  <si>
    <t>Min Distance</t>
  </si>
  <si>
    <t>Assign</t>
  </si>
  <si>
    <t>Used Evolutionary Solver to change four cluster variables and solved for the minimal sum of distance measure</t>
  </si>
  <si>
    <t>Match</t>
  </si>
  <si>
    <t>Use this information to conduct a MDS analysis by doing the following:</t>
  </si>
  <si>
    <t>a.  Create a correlation table based on the data below and change the diagonal scores to 1000.</t>
  </si>
  <si>
    <r>
      <t xml:space="preserve">b.  Use Solver to find the two-dimensional locations of the </t>
    </r>
    <r>
      <rPr>
        <u/>
        <sz val="11"/>
        <color theme="1"/>
        <rFont val="Aptos Narrow"/>
        <family val="2"/>
        <scheme val="minor"/>
      </rPr>
      <t>customers</t>
    </r>
    <r>
      <rPr>
        <b/>
        <sz val="11"/>
        <color theme="1"/>
        <rFont val="Aptos Narrow"/>
        <family val="2"/>
        <scheme val="minor"/>
      </rPr>
      <t xml:space="preserve"> so that the rating of the distance</t>
    </r>
  </si>
  <si>
    <t>in the two-dimensional space closely matches the actual ratings of the distances.</t>
  </si>
  <si>
    <t xml:space="preserve">c.  Use the solution to create a perceptual map illustrating the association of customers based on </t>
  </si>
  <si>
    <t>the brand ranking distances.</t>
  </si>
  <si>
    <t>d.  Identify clusters on the perceptual map.</t>
  </si>
  <si>
    <t xml:space="preserve">e.  Provide a description of each segment and compare to the segments identified in the cluster analysis. </t>
  </si>
  <si>
    <t>(30 points)</t>
  </si>
  <si>
    <t>5 =((score - MIN(data_range)) * (new_max - new_min) / (MAX(data_range) - MIN(data_range)) + new_min)</t>
  </si>
  <si>
    <t>5=((score-min) x (5-1)) / ((Max-Min)+1)</t>
  </si>
  <si>
    <t>Tiered Seating STD</t>
  </si>
  <si>
    <t>X</t>
  </si>
  <si>
    <t>Y</t>
  </si>
  <si>
    <t>Correlation :</t>
  </si>
  <si>
    <r>
      <t xml:space="preserve">b.  Use Solver to find the two-dimensional locations of the </t>
    </r>
    <r>
      <rPr>
        <u/>
        <sz val="14"/>
        <rFont val="Aptos Narrow"/>
        <family val="2"/>
        <scheme val="minor"/>
      </rPr>
      <t>customers</t>
    </r>
    <r>
      <rPr>
        <b/>
        <sz val="14"/>
        <rFont val="Aptos Narrow"/>
        <family val="2"/>
        <scheme val="minor"/>
      </rPr>
      <t xml:space="preserve"> so that the rating of the distance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</si>
</sst>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0"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b/>
      <sz val="10"/>
      <name val="Arial"/>
      <family val="2"/>
    </font>
    <font>
      <u/>
      <sz val="11"/>
      <color theme="1"/>
      <name val="Aptos Narrow"/>
      <family val="2"/>
      <scheme val="minor"/>
    </font>
    <font>
      <b/>
      <sz val="10"/>
      <color rgb="FF000000"/>
      <name val="Arial"/>
      <family val="2"/>
    </font>
    <font>
      <b/>
      <sz val="14"/>
      <name val="Aptos Narrow"/>
      <family val="2"/>
      <scheme val="minor"/>
    </font>
    <font>
      <sz val="14"/>
      <name val="Aptos Narrow"/>
      <family val="2"/>
      <scheme val="minor"/>
    </font>
    <font>
      <u/>
      <sz val="14"/>
      <name val="Aptos Narrow"/>
      <family val="2"/>
      <scheme val="minor"/>
    </font>
  </fonts>
  <fills count="3">
    <fill>
      <patternFill patternType="none"/>
    </fill>
    <fill>
      <patternFill patternType="gray125"/>
    </fill>
    <fill>
      <patternFill patternType="solid">
        <fgColor theme="5" tint="0.39997558519241921"/>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1">
    <xf numFmtId="0" fontId="0" fillId="0" borderId="0"/>
  </cellStyleXfs>
  <cellXfs count="22">
    <xf numFmtId="0" fontId="0" fillId="0" borderId="0" xfId="0"/>
    <xf numFmtId="0" fontId="1" fillId="0" borderId="0" xfId="0" applyFont="1"/>
    <xf numFmtId="1" fontId="0" fillId="0" borderId="0" xfId="0" applyNumberFormat="1"/>
    <xf numFmtId="0" fontId="1" fillId="0" borderId="1" xfId="0" applyFont="1" applyBorder="1" applyAlignment="1">
      <alignment horizontal="center"/>
    </xf>
    <xf numFmtId="0" fontId="0" fillId="0" borderId="0" xfId="0" applyAlignment="1">
      <alignment horizontal="center"/>
    </xf>
    <xf numFmtId="1" fontId="0" fillId="0" borderId="0" xfId="0" applyNumberFormat="1" applyAlignment="1">
      <alignment horizontal="center"/>
    </xf>
    <xf numFmtId="0" fontId="1" fillId="0" borderId="0" xfId="0" applyFont="1" applyAlignment="1">
      <alignment horizontal="left" indent="1"/>
    </xf>
    <xf numFmtId="0" fontId="1" fillId="0" borderId="0" xfId="0" applyFont="1" applyAlignment="1">
      <alignment horizontal="left" indent="3"/>
    </xf>
    <xf numFmtId="0" fontId="6" fillId="0" borderId="0" xfId="0" applyFont="1"/>
    <xf numFmtId="0" fontId="1" fillId="0" borderId="0" xfId="0" applyFont="1" applyAlignment="1">
      <alignment horizontal="center"/>
    </xf>
    <xf numFmtId="0" fontId="7" fillId="2" borderId="0" xfId="0" applyFont="1" applyFill="1"/>
    <xf numFmtId="0" fontId="8" fillId="2" borderId="0" xfId="0" applyFont="1" applyFill="1"/>
    <xf numFmtId="0" fontId="0" fillId="2" borderId="0" xfId="0" applyFill="1"/>
    <xf numFmtId="164" fontId="4" fillId="2" borderId="0" xfId="0" applyNumberFormat="1" applyFont="1" applyFill="1" applyAlignment="1">
      <alignment horizontal="center" vertical="center" wrapText="1"/>
    </xf>
    <xf numFmtId="0" fontId="2" fillId="2" borderId="0" xfId="0" applyFont="1" applyFill="1"/>
    <xf numFmtId="0" fontId="3" fillId="2" borderId="0" xfId="0" applyFont="1" applyFill="1"/>
    <xf numFmtId="164" fontId="4" fillId="2" borderId="2" xfId="0" applyNumberFormat="1" applyFont="1" applyFill="1" applyBorder="1" applyAlignment="1">
      <alignment horizontal="center" vertical="center" wrapText="1"/>
    </xf>
    <xf numFmtId="1" fontId="8" fillId="2" borderId="0" xfId="0" applyNumberFormat="1" applyFont="1" applyFill="1" applyAlignment="1">
      <alignment horizontal="center"/>
    </xf>
    <xf numFmtId="0" fontId="7" fillId="2" borderId="0" xfId="0" applyFont="1" applyFill="1" applyAlignment="1">
      <alignment horizontal="left" indent="1"/>
    </xf>
    <xf numFmtId="0" fontId="8" fillId="2" borderId="0" xfId="0" applyFont="1" applyFill="1" applyAlignment="1">
      <alignment horizontal="center"/>
    </xf>
    <xf numFmtId="0" fontId="7" fillId="2" borderId="0" xfId="0" applyFont="1" applyFill="1" applyAlignment="1">
      <alignment horizontal="left" indent="3"/>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mruColors>
      <color rgb="FFFFD8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Perceptual Map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tx>
                <c:rich>
                  <a:bodyPr/>
                  <a:lstStyle/>
                  <a:p>
                    <a:r>
                      <a:rPr lang="en-US" b="1"/>
                      <a:t>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926-4ECE-8938-254100D44100}"/>
                </c:ext>
              </c:extLst>
            </c:dLbl>
            <c:dLbl>
              <c:idx val="1"/>
              <c:tx>
                <c:rich>
                  <a:bodyPr/>
                  <a:lstStyle/>
                  <a:p>
                    <a:r>
                      <a:rPr lang="en-US" b="1"/>
                      <a:t>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926-4ECE-8938-254100D44100}"/>
                </c:ext>
              </c:extLst>
            </c:dLbl>
            <c:dLbl>
              <c:idx val="2"/>
              <c:tx>
                <c:rich>
                  <a:bodyPr/>
                  <a:lstStyle/>
                  <a:p>
                    <a:r>
                      <a:rPr lang="en-US" b="1"/>
                      <a:t>3</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926-4ECE-8938-254100D44100}"/>
                </c:ext>
              </c:extLst>
            </c:dLbl>
            <c:dLbl>
              <c:idx val="3"/>
              <c:tx>
                <c:rich>
                  <a:bodyPr/>
                  <a:lstStyle/>
                  <a:p>
                    <a:r>
                      <a:rPr lang="en-US" b="1"/>
                      <a:t>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926-4ECE-8938-254100D44100}"/>
                </c:ext>
              </c:extLst>
            </c:dLbl>
            <c:dLbl>
              <c:idx val="4"/>
              <c:tx>
                <c:rich>
                  <a:bodyPr/>
                  <a:lstStyle/>
                  <a:p>
                    <a:r>
                      <a:rPr lang="en-US" b="1"/>
                      <a:t>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926-4ECE-8938-254100D44100}"/>
                </c:ext>
              </c:extLst>
            </c:dLbl>
            <c:dLbl>
              <c:idx val="5"/>
              <c:tx>
                <c:rich>
                  <a:bodyPr/>
                  <a:lstStyle/>
                  <a:p>
                    <a:r>
                      <a:rPr lang="en-US" b="1"/>
                      <a:t>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926-4ECE-8938-254100D44100}"/>
                </c:ext>
              </c:extLst>
            </c:dLbl>
            <c:dLbl>
              <c:idx val="6"/>
              <c:tx>
                <c:rich>
                  <a:bodyPr/>
                  <a:lstStyle/>
                  <a:p>
                    <a:r>
                      <a:rPr lang="en-US" b="1"/>
                      <a:t>7</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926-4ECE-8938-254100D44100}"/>
                </c:ext>
              </c:extLst>
            </c:dLbl>
            <c:dLbl>
              <c:idx val="7"/>
              <c:tx>
                <c:rich>
                  <a:bodyPr/>
                  <a:lstStyle/>
                  <a:p>
                    <a:r>
                      <a:rPr lang="en-US" b="1"/>
                      <a:t>8</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926-4ECE-8938-254100D44100}"/>
                </c:ext>
              </c:extLst>
            </c:dLbl>
            <c:dLbl>
              <c:idx val="8"/>
              <c:tx>
                <c:rich>
                  <a:bodyPr/>
                  <a:lstStyle/>
                  <a:p>
                    <a:r>
                      <a:rPr lang="en-US" b="1"/>
                      <a:t>9</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926-4ECE-8938-254100D44100}"/>
                </c:ext>
              </c:extLst>
            </c:dLbl>
            <c:dLbl>
              <c:idx val="9"/>
              <c:tx>
                <c:rich>
                  <a:bodyPr/>
                  <a:lstStyle/>
                  <a:p>
                    <a:r>
                      <a:rPr lang="en-US" b="1"/>
                      <a:t>10</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926-4ECE-8938-254100D44100}"/>
                </c:ext>
              </c:extLst>
            </c:dLbl>
            <c:dLbl>
              <c:idx val="10"/>
              <c:tx>
                <c:rich>
                  <a:bodyPr/>
                  <a:lstStyle/>
                  <a:p>
                    <a:r>
                      <a:rPr lang="en-US" b="1"/>
                      <a:t>11</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926-4ECE-8938-254100D44100}"/>
                </c:ext>
              </c:extLst>
            </c:dLbl>
            <c:dLbl>
              <c:idx val="11"/>
              <c:tx>
                <c:rich>
                  <a:bodyPr/>
                  <a:lstStyle/>
                  <a:p>
                    <a:r>
                      <a:rPr lang="en-US" b="1"/>
                      <a:t>12</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926-4ECE-8938-254100D44100}"/>
                </c:ext>
              </c:extLst>
            </c:dLbl>
            <c:dLbl>
              <c:idx val="12"/>
              <c:tx>
                <c:rich>
                  <a:bodyPr/>
                  <a:lstStyle/>
                  <a:p>
                    <a:r>
                      <a:rPr lang="en-US" b="1"/>
                      <a:t>13</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926-4ECE-8938-254100D44100}"/>
                </c:ext>
              </c:extLst>
            </c:dLbl>
            <c:dLbl>
              <c:idx val="13"/>
              <c:tx>
                <c:rich>
                  <a:bodyPr/>
                  <a:lstStyle/>
                  <a:p>
                    <a:r>
                      <a:rPr lang="en-US" b="1"/>
                      <a:t>14</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926-4ECE-8938-254100D44100}"/>
                </c:ext>
              </c:extLst>
            </c:dLbl>
            <c:dLbl>
              <c:idx val="14"/>
              <c:tx>
                <c:rich>
                  <a:bodyPr/>
                  <a:lstStyle/>
                  <a:p>
                    <a:r>
                      <a:rPr lang="en-US" b="1"/>
                      <a:t>15</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926-4ECE-8938-254100D44100}"/>
                </c:ext>
              </c:extLst>
            </c:dLbl>
            <c:dLbl>
              <c:idx val="15"/>
              <c:tx>
                <c:rich>
                  <a:bodyPr/>
                  <a:lstStyle/>
                  <a:p>
                    <a:r>
                      <a:rPr lang="en-US" b="1"/>
                      <a:t>16</a:t>
                    </a:r>
                  </a:p>
                </c:rich>
              </c:tx>
              <c:dLblPos val="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926-4ECE-8938-254100D441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'https://d.docs.live.net/b286490e05de0306/Desktop/Marketing analytics/Week 7/[Homework - Week 7 - Cluster ^0 MDS.xlsx]MDS Analysis'!$D$75:$D$90</c:f>
              <c:numCache>
                <c:formatCode>General</c:formatCode>
                <c:ptCount val="16"/>
                <c:pt idx="0">
                  <c:v>2.7295804089553575</c:v>
                </c:pt>
                <c:pt idx="1">
                  <c:v>2.1935915337141418</c:v>
                </c:pt>
                <c:pt idx="2">
                  <c:v>2.5004698860997112</c:v>
                </c:pt>
                <c:pt idx="3">
                  <c:v>2.7492872550561454</c:v>
                </c:pt>
                <c:pt idx="4">
                  <c:v>2.502864793407944</c:v>
                </c:pt>
                <c:pt idx="5">
                  <c:v>1.3635629200094348</c:v>
                </c:pt>
                <c:pt idx="6">
                  <c:v>1.6618762286236812</c:v>
                </c:pt>
                <c:pt idx="7">
                  <c:v>0.96461923879012745</c:v>
                </c:pt>
                <c:pt idx="8">
                  <c:v>-0.47544731996108108</c:v>
                </c:pt>
                <c:pt idx="9">
                  <c:v>-0.19581128557752508</c:v>
                </c:pt>
                <c:pt idx="10">
                  <c:v>-1.3566085313162415</c:v>
                </c:pt>
                <c:pt idx="11">
                  <c:v>-0.55041306561502135</c:v>
                </c:pt>
                <c:pt idx="12">
                  <c:v>-0.47788846897889509</c:v>
                </c:pt>
                <c:pt idx="13">
                  <c:v>-2.8250586330566256</c:v>
                </c:pt>
                <c:pt idx="14">
                  <c:v>-2.9176436842385471</c:v>
                </c:pt>
                <c:pt idx="15">
                  <c:v>-2.9040558294280086</c:v>
                </c:pt>
              </c:numCache>
            </c:numRef>
          </c:xVal>
          <c:yVal>
            <c:numRef>
              <c:f>'https://d.docs.live.net/b286490e05de0306/Desktop/Marketing analytics/Week 7/[Homework - Week 7 - Cluster ^0 MDS.xlsx]MDS Analysis'!$E$75:$E$90</c:f>
              <c:numCache>
                <c:formatCode>General</c:formatCode>
                <c:ptCount val="16"/>
                <c:pt idx="0">
                  <c:v>2.9738373289610855</c:v>
                </c:pt>
                <c:pt idx="1">
                  <c:v>2.6584670696427604</c:v>
                </c:pt>
                <c:pt idx="2">
                  <c:v>2.6050129613604613</c:v>
                </c:pt>
                <c:pt idx="3">
                  <c:v>2.4693573876440182</c:v>
                </c:pt>
                <c:pt idx="4">
                  <c:v>2.0805320942642949</c:v>
                </c:pt>
                <c:pt idx="5">
                  <c:v>-0.23713896286995409</c:v>
                </c:pt>
                <c:pt idx="6">
                  <c:v>0.33821071021078641</c:v>
                </c:pt>
                <c:pt idx="7">
                  <c:v>0.41843939637989019</c:v>
                </c:pt>
                <c:pt idx="8">
                  <c:v>8.024340863296503E-2</c:v>
                </c:pt>
                <c:pt idx="9">
                  <c:v>-0.37004093261361976</c:v>
                </c:pt>
                <c:pt idx="10">
                  <c:v>-0.25509692099151615</c:v>
                </c:pt>
                <c:pt idx="11">
                  <c:v>-2.2111531768859476</c:v>
                </c:pt>
                <c:pt idx="12">
                  <c:v>-2.6690159730953802</c:v>
                </c:pt>
                <c:pt idx="13">
                  <c:v>-1.8433358231012316</c:v>
                </c:pt>
                <c:pt idx="14">
                  <c:v>-2.8368423074627893</c:v>
                </c:pt>
                <c:pt idx="15">
                  <c:v>-2.8582848095269129</c:v>
                </c:pt>
              </c:numCache>
            </c:numRef>
          </c:yVal>
          <c:smooth val="0"/>
          <c:extLst>
            <c:ext xmlns:c15="http://schemas.microsoft.com/office/drawing/2012/chart" uri="{02D57815-91ED-43cb-92C2-25804820EDAC}">
              <c15:filteredSeriesTitle>
                <c15:tx>
                  <c:strRef>
                    <c:extLst>
                      <c:ext uri="{02D57815-91ED-43cb-92C2-25804820EDAC}">
                        <c15:formulaRef>
                          <c15:sqref>'https://d.docs.live.net/b286490e05de0306/Desktop/Marketing analytics/Week 7/[Homework - Week 7 - Cluster ^0 MDS.xlsx]MDS Analysis'!$E$74</c15:sqref>
                        </c15:formulaRef>
                      </c:ext>
                    </c:extLst>
                    <c:strCache>
                      <c:ptCount val="1"/>
                      <c:pt idx="0">
                        <c:v>Y</c:v>
                      </c:pt>
                    </c:strCache>
                  </c:strRef>
                </c15:tx>
              </c15:filteredSeriesTitle>
            </c:ext>
            <c:ext xmlns:c16="http://schemas.microsoft.com/office/drawing/2014/chart" uri="{C3380CC4-5D6E-409C-BE32-E72D297353CC}">
              <c16:uniqueId val="{00000010-F926-4ECE-8938-254100D44100}"/>
            </c:ext>
          </c:extLst>
        </c:ser>
        <c:dLbls>
          <c:showLegendKey val="0"/>
          <c:showVal val="0"/>
          <c:showCatName val="0"/>
          <c:showSerName val="0"/>
          <c:showPercent val="0"/>
          <c:showBubbleSize val="0"/>
        </c:dLbls>
        <c:axId val="11456544"/>
        <c:axId val="575512096"/>
      </c:scatterChart>
      <c:valAx>
        <c:axId val="11456544"/>
        <c:scaling>
          <c:orientation val="minMax"/>
          <c:min val="-3"/>
        </c:scaling>
        <c:delete val="0"/>
        <c:axPos val="b"/>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512096"/>
        <c:crosses val="autoZero"/>
        <c:crossBetween val="midCat"/>
      </c:valAx>
      <c:valAx>
        <c:axId val="575512096"/>
        <c:scaling>
          <c:orientation val="minMax"/>
          <c:min val="-3"/>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56544"/>
        <c:crosses val="autoZero"/>
        <c:crossBetween val="midCat"/>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541020</xdr:colOff>
      <xdr:row>69</xdr:row>
      <xdr:rowOff>15240</xdr:rowOff>
    </xdr:from>
    <xdr:ext cx="8481060" cy="7498080"/>
    <xdr:sp macro="" textlink="">
      <xdr:nvSpPr>
        <xdr:cNvPr id="2" name="TextBox 1">
          <a:extLst>
            <a:ext uri="{FF2B5EF4-FFF2-40B4-BE49-F238E27FC236}">
              <a16:creationId xmlns:a16="http://schemas.microsoft.com/office/drawing/2014/main" id="{969A70B5-8E62-44CD-AE94-120C5F4BEE8F}"/>
            </a:ext>
          </a:extLst>
        </xdr:cNvPr>
        <xdr:cNvSpPr txBox="1"/>
      </xdr:nvSpPr>
      <xdr:spPr>
        <a:xfrm>
          <a:off x="1249680" y="14081760"/>
          <a:ext cx="8481060" cy="749808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800" b="1"/>
            <a:t>WRITE-UP</a:t>
          </a:r>
        </a:p>
        <a:p>
          <a:pPr algn="ctr"/>
          <a:endParaRPr lang="en-IN" sz="1800" b="1"/>
        </a:p>
        <a:p>
          <a:pPr algn="l"/>
          <a:r>
            <a:rPr lang="en-US" sz="1400" b="1"/>
            <a:t>Cluster 1: Budget-Friendly Frequent Travelers</a:t>
          </a:r>
          <a:br>
            <a:rPr lang="en-US" sz="1400"/>
          </a:br>
          <a:r>
            <a:rPr lang="en-US" sz="1400"/>
            <a:t>These people love finding good deals but also enjoy having choices and earning rewards. They often stick with airlines that give points or benefits for flying often. To reach this group, airlines should offer discounts, special deals, and loyalty rewards. They might also be interested in affordable upgrades to better seats, as long as the price is fair.</a:t>
          </a:r>
        </a:p>
        <a:p>
          <a:pPr algn="l"/>
          <a:endParaRPr lang="en-US" sz="1400"/>
        </a:p>
        <a:p>
          <a:pPr algn="l"/>
          <a:r>
            <a:rPr lang="en-US" sz="1400" b="1"/>
            <a:t>Cluster 2: Money-Savers with Fixed Plans</a:t>
          </a:r>
          <a:br>
            <a:rPr lang="en-US" sz="1400"/>
          </a:br>
          <a:r>
            <a:rPr lang="en-US" sz="1400"/>
            <a:t>This group wants to save money and cares a lot about being on time. They usually pick airlines based on how much value they get for the price. Loyalty programs don’t matter much to them. They prefer low fares and useful packages, like free bags or flexible tickets. Airlines should focus on promoting how reliable and easy their service is.</a:t>
          </a:r>
        </a:p>
        <a:p>
          <a:pPr algn="l"/>
          <a:endParaRPr lang="en-US" sz="1400"/>
        </a:p>
        <a:p>
          <a:pPr algn="l"/>
          <a:r>
            <a:rPr lang="en-US" sz="1400" b="1"/>
            <a:t>Cluster 3: Low-Cost, Delay-Aware Flyers</a:t>
          </a:r>
          <a:br>
            <a:rPr lang="en-US" sz="1400"/>
          </a:br>
          <a:r>
            <a:rPr lang="en-US" sz="1400"/>
            <a:t>These travelers care about both low prices and avoiding delays. They’re not too concerned about having lots of flight options, but being on time is very important. They don’t care much about rewards or seat classes. Airlines should focus on offering cheap, on-time flights, especially in places where not many flights are available.</a:t>
          </a:r>
        </a:p>
        <a:p>
          <a:pPr algn="l"/>
          <a:endParaRPr lang="en-US" sz="1400"/>
        </a:p>
        <a:p>
          <a:pPr algn="l"/>
          <a:r>
            <a:rPr lang="en-US" sz="1400" b="1"/>
            <a:t>Cluster 4: High-End Travelers Who Value Quality</a:t>
          </a:r>
          <a:br>
            <a:rPr lang="en-US" sz="1400"/>
          </a:br>
          <a:r>
            <a:rPr lang="en-US" sz="1400"/>
            <a:t>This group is okay with spending more for a better flying experience. They care a lot about being on time, but they’re not very interested in reward programs. They want excellent service and get upset if there are delays. Instead of offering discounts or points, airlines should focus on fast check-ins, great service, and a smooth, on-time trip.</a:t>
          </a:r>
        </a:p>
        <a:p>
          <a:pPr algn="l"/>
          <a:endParaRPr lang="en-US" sz="1400"/>
        </a:p>
        <a:p>
          <a:pPr algn="l"/>
          <a:r>
            <a:rPr lang="en-US" sz="1400" b="1"/>
            <a:t>Cluster 5: Comfort-Loving, Value-Focused Travelers</a:t>
          </a:r>
          <a:br>
            <a:rPr lang="en-US" sz="1400"/>
          </a:br>
          <a:r>
            <a:rPr lang="en-US" sz="1400"/>
            <a:t>These people want both good prices and a comfortable trip. They care about cost, but also want things to go smoothly, with few delays and easy-to-find flights. They’re a little interested in rewards but don’t like seat levels or tiers. To attract them, airlines should offer flexible, comfortable travel with useful perks like early boarding or more luggage space.</a:t>
          </a:r>
        </a:p>
        <a:p>
          <a:pPr algn="l"/>
          <a:endParaRPr lang="en-US" sz="1400"/>
        </a:p>
        <a:p>
          <a:pPr algn="l"/>
          <a:r>
            <a:rPr lang="en-US" sz="1400" b="1"/>
            <a:t>Conclusion:</a:t>
          </a:r>
          <a:br>
            <a:rPr lang="en-US" sz="1400"/>
          </a:br>
          <a:r>
            <a:rPr lang="en-US" sz="1400"/>
            <a:t>Each group likes different things. Cluster 1 cares about prices and rewards, so deals and upgrades work well for them. Cluster 2 wants good value and reliable service. Cluster 3 needs affordable and on-time flights. Cluster 4 prefers high-quality service without rewards. Cluster 5 wants comfort and simple travel. By focusing on what each group wants, airlines can better connect with and keep their customers.</a:t>
          </a:r>
        </a:p>
        <a:p>
          <a:pPr algn="ctr"/>
          <a:endParaRPr lang="en-IN" sz="1800" b="1"/>
        </a:p>
      </xdr:txBody>
    </xdr:sp>
    <xdr:clientData/>
  </xdr:oneCellAnchor>
  <xdr:oneCellAnchor>
    <xdr:from>
      <xdr:col>17</xdr:col>
      <xdr:colOff>76200</xdr:colOff>
      <xdr:row>47</xdr:row>
      <xdr:rowOff>7620</xdr:rowOff>
    </xdr:from>
    <xdr:ext cx="2552700" cy="3665220"/>
    <xdr:sp macro="" textlink="">
      <xdr:nvSpPr>
        <xdr:cNvPr id="3" name="TextBox 2">
          <a:extLst>
            <a:ext uri="{FF2B5EF4-FFF2-40B4-BE49-F238E27FC236}">
              <a16:creationId xmlns:a16="http://schemas.microsoft.com/office/drawing/2014/main" id="{FE39065A-DEE0-4D86-8282-3BD42CB25BB6}"/>
            </a:ext>
          </a:extLst>
        </xdr:cNvPr>
        <xdr:cNvSpPr txBox="1"/>
      </xdr:nvSpPr>
      <xdr:spPr>
        <a:xfrm>
          <a:off x="11506200" y="9578340"/>
          <a:ext cx="2552700" cy="366522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b="1"/>
            <a:t>Choosing between five or four clusters is determined by minimizing the sum of squared distances (Sum Dis²) and ensuring meaningful classifications. The four-cluster analysis yields a lower total of squared distances (15.24 vs. 12.35 for the five-cluster scenario). This implies that the five-cluster model may give more exact grouping since it has a smaller distance measure, suggesting better separation between groups. Furthermore, the important factors and the least sum of distance measurements demonstrate that the five-cluster model offers more subtle difference across critical parameters such as cost, flight availability, and loyalty. As a result, the five-cluster strategy should be favored due to its better separation and smaller distance measure.</a:t>
          </a:r>
          <a:endParaRPr lang="en-IN" sz="11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8</xdr:col>
      <xdr:colOff>372533</xdr:colOff>
      <xdr:row>113</xdr:row>
      <xdr:rowOff>169333</xdr:rowOff>
    </xdr:from>
    <xdr:to>
      <xdr:col>15</xdr:col>
      <xdr:colOff>211667</xdr:colOff>
      <xdr:row>128</xdr:row>
      <xdr:rowOff>118533</xdr:rowOff>
    </xdr:to>
    <xdr:graphicFrame macro="">
      <xdr:nvGraphicFramePr>
        <xdr:cNvPr id="2" name="Chart 1">
          <a:extLst>
            <a:ext uri="{FF2B5EF4-FFF2-40B4-BE49-F238E27FC236}">
              <a16:creationId xmlns:a16="http://schemas.microsoft.com/office/drawing/2014/main" id="{1709A16D-5A32-4B8C-8B91-B05BF0E80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114300</xdr:colOff>
      <xdr:row>132</xdr:row>
      <xdr:rowOff>0</xdr:rowOff>
    </xdr:from>
    <xdr:ext cx="15354300" cy="10363200"/>
    <xdr:sp macro="" textlink="">
      <xdr:nvSpPr>
        <xdr:cNvPr id="3" name="TextBox 2">
          <a:extLst>
            <a:ext uri="{FF2B5EF4-FFF2-40B4-BE49-F238E27FC236}">
              <a16:creationId xmlns:a16="http://schemas.microsoft.com/office/drawing/2014/main" id="{1C368B6A-E603-4BC0-B25F-B6C84DF1038E}"/>
            </a:ext>
          </a:extLst>
        </xdr:cNvPr>
        <xdr:cNvSpPr txBox="1"/>
      </xdr:nvSpPr>
      <xdr:spPr>
        <a:xfrm>
          <a:off x="114300" y="25176480"/>
          <a:ext cx="15354300" cy="10363200"/>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000" b="1"/>
            <a:t>WRITE</a:t>
          </a:r>
          <a:r>
            <a:rPr lang="en-US" sz="2000" b="1" baseline="0"/>
            <a:t>-UP</a:t>
          </a:r>
        </a:p>
        <a:p>
          <a:pPr algn="ctr"/>
          <a:endParaRPr lang="en-US" sz="2000" b="1" baseline="0"/>
        </a:p>
        <a:p>
          <a:r>
            <a:rPr lang="en-US" sz="1600" b="1"/>
            <a:t>1. Cost-Focused Travelers (Strong Emphasis on Price, Less on Other Aspects)</a:t>
          </a:r>
          <a:br>
            <a:rPr lang="en-US" sz="1600"/>
          </a:br>
          <a:r>
            <a:rPr lang="en-US" sz="1600"/>
            <a:t>These travelers mainly care about keeping travel costs low. Things like loyalty programs or better seating don’t matter much to them. For instance, customers 1, 3, 4, and 5 often rate price as the most important factor and show little interest in other features. In a clustering analysis, they would likely be grouped together due to their strong focus on saving money.</a:t>
          </a:r>
        </a:p>
        <a:p>
          <a:endParaRPr lang="en-US" sz="1600"/>
        </a:p>
        <a:p>
          <a:r>
            <a:rPr lang="en-US" sz="1600" b="1"/>
            <a:t>2. Service-Driven Travelers (High Interest in Rewards and Premium Options)</a:t>
          </a:r>
          <a:br>
            <a:rPr lang="en-US" sz="1600"/>
          </a:br>
          <a:r>
            <a:rPr lang="en-US" sz="1600"/>
            <a:t>These customers care more about perks like loyalty rewards and seat upgrades than the actual ticket price. Customers 9, 11, and 12 fit into this group because they give higher scores to service-related features and don’t mind spending more. They would form their own cluster because they prioritize services over saving money.</a:t>
          </a:r>
        </a:p>
        <a:p>
          <a:endParaRPr lang="en-US" sz="1600"/>
        </a:p>
        <a:p>
          <a:r>
            <a:rPr lang="en-US" sz="1600" b="1"/>
            <a:t>3. Evenly Balanced Travelers (Similar Ratings for All Aspects)</a:t>
          </a:r>
          <a:br>
            <a:rPr lang="en-US" sz="1600"/>
          </a:br>
          <a:r>
            <a:rPr lang="en-US" sz="1600"/>
            <a:t>Customers such as 7 and 8 give similar importance to all factors like price, loyalty programs, seat options, and flight availability. They don’t favor one factor more than another. In clustering, they’d likely fall into a middle group because they take a balanced approach when choosing flights.</a:t>
          </a:r>
        </a:p>
        <a:p>
          <a:endParaRPr lang="en-US" sz="1600"/>
        </a:p>
        <a:p>
          <a:r>
            <a:rPr lang="en-US" sz="1600" b="1"/>
            <a:t>4. Loyalty and Access-Focused Travelers (High on Loyalty and Options, Low on Price)</a:t>
          </a:r>
          <a:br>
            <a:rPr lang="en-US" sz="1600"/>
          </a:br>
          <a:r>
            <a:rPr lang="en-US" sz="1600"/>
            <a:t>This category includes customers like 6 and 9, who really value having access to flights and earning rewards but aren’t very concerned about ticket prices. They care more about reliability and the benefits they get from sticking with one airline. These travelers would form their own cluster due to their shared focus on convenience and loyalty perks.</a:t>
          </a:r>
        </a:p>
        <a:p>
          <a:endParaRPr lang="en-US" sz="1600"/>
        </a:p>
        <a:p>
          <a:r>
            <a:rPr lang="en-US" sz="1600" b="1"/>
            <a:t>Cluster Grouping Summary:</a:t>
          </a:r>
          <a:br>
            <a:rPr lang="en-US" sz="1600"/>
          </a:br>
          <a:r>
            <a:rPr lang="en-US" sz="1600"/>
            <a:t>Cluster analysis helps organize travelers by what they care about most</a:t>
          </a:r>
          <a:r>
            <a:rPr lang="en-US" sz="1600" baseline="0"/>
            <a:t> </a:t>
          </a:r>
          <a:r>
            <a:rPr lang="en-US" sz="1600"/>
            <a:t>whether that’s saving money, getting better service, or having flight options. Cost-focused travelers (like 1, 3, 4, and 5) are grouped together because price matters most to them. Service-focused travelers (like 9, 11, and 12) care more about rewards and seating upgrades. Balanced travelers (like 7 and 8) consider everything equally. Lastly, those who value loyalty programs and flight access (like 6 and 9) form a distinct group. This kind of grouping clearly shows how similar customer preferences lead to them being placed in the same cluster.</a:t>
          </a:r>
        </a:p>
        <a:p>
          <a:endParaRPr lang="en-US" sz="1600"/>
        </a:p>
        <a:p>
          <a:r>
            <a:rPr lang="en-US" sz="1600" b="1"/>
            <a:t>Multidimensional Scaling (MDS) Outcome:</a:t>
          </a:r>
          <a:br>
            <a:rPr lang="en-US" sz="1600"/>
          </a:br>
          <a:r>
            <a:rPr lang="en-US" sz="1600"/>
            <a:t>The X and Y positions from MDS show how close customers are based on their travel preferences. Customers near each other on the chart have similar views. For example, customers 1, 2, 3, and 4 appear close together, meaning they care about the same things. Similarly, customers 9 and 11 are located near each other, showing a shared focus on service features.</a:t>
          </a:r>
        </a:p>
        <a:p>
          <a:endParaRPr lang="en-US" sz="1600"/>
        </a:p>
        <a:p>
          <a:r>
            <a:rPr lang="en-US" sz="1600" b="1"/>
            <a:t>Final Summary:</a:t>
          </a:r>
          <a:br>
            <a:rPr lang="en-US" sz="1600"/>
          </a:br>
          <a:r>
            <a:rPr lang="en-US" sz="1600"/>
            <a:t>Both segmentation and cluster analysis highlight the same main types of customers</a:t>
          </a:r>
          <a:r>
            <a:rPr lang="en-US" sz="1600" baseline="0"/>
            <a:t> </a:t>
          </a:r>
          <a:r>
            <a:rPr lang="en-US" sz="1600"/>
            <a:t>those focused on price, those who care about service, balanced decision-makers, and those who want loyalty rewards and flight choices. The close distances in the MDS map back up these groupings, showing that customers with similar needs naturally fall into the same categories.</a:t>
          </a:r>
        </a:p>
        <a:p>
          <a:pPr algn="ctr"/>
          <a:endParaRPr lang="en-US" sz="1600" b="1" baseline="0"/>
        </a:p>
        <a:p>
          <a:pPr algn="ctr"/>
          <a:endParaRPr lang="en-US" sz="2000" b="1" baseline="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E91A-69A7-47AF-88D4-9820A6E29464}">
  <dimension ref="A1:V68"/>
  <sheetViews>
    <sheetView workbookViewId="0">
      <selection activeCell="M36" sqref="M36"/>
    </sheetView>
  </sheetViews>
  <sheetFormatPr defaultRowHeight="14.4" x14ac:dyDescent="0.3"/>
  <cols>
    <col min="1" max="1" width="10.33203125" customWidth="1"/>
    <col min="2" max="2" width="17.21875" bestFit="1" customWidth="1"/>
    <col min="6" max="6" width="10.21875" customWidth="1"/>
    <col min="8" max="8" width="8.5546875" bestFit="1" customWidth="1"/>
    <col min="12" max="12" width="10.5546875" customWidth="1"/>
    <col min="16" max="16" width="12" bestFit="1" customWidth="1"/>
  </cols>
  <sheetData>
    <row r="1" spans="1:22" x14ac:dyDescent="0.3">
      <c r="A1" s="1" t="s">
        <v>0</v>
      </c>
    </row>
    <row r="2" spans="1:22" x14ac:dyDescent="0.3">
      <c r="A2" s="1" t="s">
        <v>1</v>
      </c>
    </row>
    <row r="3" spans="1:22" x14ac:dyDescent="0.3">
      <c r="A3" s="1" t="s">
        <v>2</v>
      </c>
    </row>
    <row r="4" spans="1:22" x14ac:dyDescent="0.3">
      <c r="A4" s="1" t="s">
        <v>3</v>
      </c>
    </row>
    <row r="5" spans="1:22" x14ac:dyDescent="0.3">
      <c r="A5" s="1"/>
    </row>
    <row r="6" spans="1:22" ht="18" x14ac:dyDescent="0.35">
      <c r="A6" s="10" t="s">
        <v>1</v>
      </c>
      <c r="B6" s="11"/>
      <c r="C6" s="11"/>
      <c r="D6" s="11"/>
      <c r="E6" s="11"/>
      <c r="F6" s="11"/>
      <c r="G6" s="11"/>
      <c r="H6" s="12"/>
      <c r="I6" s="12"/>
    </row>
    <row r="8" spans="1:22" x14ac:dyDescent="0.3">
      <c r="A8" s="1" t="s">
        <v>4</v>
      </c>
      <c r="B8" s="2">
        <f>AVERAGE(B19:B34)</f>
        <v>3.0625</v>
      </c>
      <c r="C8" s="2">
        <f t="shared" ref="C8:F8" si="0">AVERAGE(C19:C34)</f>
        <v>4</v>
      </c>
      <c r="D8" s="2">
        <f t="shared" si="0"/>
        <v>3.25</v>
      </c>
      <c r="E8" s="2">
        <f t="shared" si="0"/>
        <v>2.75</v>
      </c>
      <c r="F8" s="2">
        <f t="shared" si="0"/>
        <v>3</v>
      </c>
    </row>
    <row r="9" spans="1:22" x14ac:dyDescent="0.3">
      <c r="A9" s="1" t="s">
        <v>5</v>
      </c>
      <c r="B9">
        <f>STDEV(B19:B34)</f>
        <v>1.4361406616345072</v>
      </c>
      <c r="C9">
        <f t="shared" ref="C9:F9" si="1">STDEV(C19:C34)</f>
        <v>0.89442719099991586</v>
      </c>
      <c r="D9">
        <f t="shared" si="1"/>
        <v>1.3416407864998738</v>
      </c>
      <c r="E9">
        <f t="shared" si="1"/>
        <v>1.2909944487358056</v>
      </c>
      <c r="F9">
        <f t="shared" si="1"/>
        <v>1.5916448515084429</v>
      </c>
    </row>
    <row r="10" spans="1:22" x14ac:dyDescent="0.3">
      <c r="E10" s="1"/>
      <c r="F10" s="1" t="s">
        <v>6</v>
      </c>
      <c r="G10" s="1">
        <v>7</v>
      </c>
      <c r="H10" s="1">
        <v>8</v>
      </c>
      <c r="I10" s="1">
        <v>9</v>
      </c>
      <c r="J10" s="1">
        <v>10</v>
      </c>
      <c r="K10" s="1">
        <v>11</v>
      </c>
    </row>
    <row r="11" spans="1:22" ht="39.6" x14ac:dyDescent="0.3">
      <c r="E11" s="1" t="s">
        <v>7</v>
      </c>
      <c r="F11" s="1" t="s">
        <v>8</v>
      </c>
      <c r="G11" s="13" t="s">
        <v>9</v>
      </c>
      <c r="H11" s="13" t="s">
        <v>10</v>
      </c>
      <c r="I11" s="13" t="s">
        <v>11</v>
      </c>
      <c r="J11" s="13" t="s">
        <v>12</v>
      </c>
      <c r="K11" s="13" t="s">
        <v>13</v>
      </c>
    </row>
    <row r="12" spans="1:22" x14ac:dyDescent="0.3">
      <c r="E12">
        <f>VLOOKUP(F12,$A$19:$K$34,1,0)</f>
        <v>9</v>
      </c>
      <c r="F12">
        <v>9</v>
      </c>
      <c r="G12">
        <f>VLOOKUP($F12,$A$19:$K$34,G$10,0)</f>
        <v>-1.4361406616345072</v>
      </c>
      <c r="H12">
        <f t="shared" ref="H12:K16" si="2">VLOOKUP($F12,$A$19:$K$34,H$10,0)</f>
        <v>1.1180339887498949</v>
      </c>
      <c r="I12">
        <f t="shared" si="2"/>
        <v>0.55901699437494745</v>
      </c>
      <c r="J12">
        <f t="shared" si="2"/>
        <v>1.7428425057933377</v>
      </c>
      <c r="K12">
        <f t="shared" si="2"/>
        <v>1.2565617248750864</v>
      </c>
    </row>
    <row r="13" spans="1:22" x14ac:dyDescent="0.3">
      <c r="E13">
        <f>VLOOKUP(F13,$A$19:$K$34,1,0)</f>
        <v>2</v>
      </c>
      <c r="F13">
        <v>2</v>
      </c>
      <c r="G13">
        <f t="shared" ref="G13:G16" si="3">VLOOKUP($F13,$A$19:$K$34,G$10,0)</f>
        <v>0.65279120983386685</v>
      </c>
      <c r="H13">
        <f t="shared" si="2"/>
        <v>-1.1180339887498949</v>
      </c>
      <c r="I13">
        <f t="shared" si="2"/>
        <v>0.55901699437494745</v>
      </c>
      <c r="J13">
        <f t="shared" si="2"/>
        <v>0.19364916731037085</v>
      </c>
      <c r="K13">
        <f t="shared" si="2"/>
        <v>-0.62828086243754322</v>
      </c>
      <c r="M13" s="14" t="s">
        <v>14</v>
      </c>
      <c r="N13" s="15"/>
      <c r="O13" s="15"/>
      <c r="P13" s="15"/>
      <c r="Q13" s="15"/>
      <c r="R13" s="15"/>
      <c r="S13" s="15"/>
      <c r="T13" s="15"/>
      <c r="U13" s="15"/>
      <c r="V13" s="15"/>
    </row>
    <row r="14" spans="1:22" x14ac:dyDescent="0.3">
      <c r="E14">
        <f>VLOOKUP(F14,$A$19:$K$34,1,0)</f>
        <v>4</v>
      </c>
      <c r="F14">
        <v>4</v>
      </c>
      <c r="G14">
        <f t="shared" si="3"/>
        <v>1.3491018336566583</v>
      </c>
      <c r="H14">
        <f t="shared" si="2"/>
        <v>1.1180339887498949</v>
      </c>
      <c r="I14">
        <f t="shared" si="2"/>
        <v>-0.93169499062491234</v>
      </c>
      <c r="J14">
        <f t="shared" si="2"/>
        <v>-1.355544171172596</v>
      </c>
      <c r="K14">
        <f t="shared" si="2"/>
        <v>-1.2565617248750864</v>
      </c>
    </row>
    <row r="15" spans="1:22" x14ac:dyDescent="0.3">
      <c r="E15">
        <f>VLOOKUP(F15,$A$19:$K$34,1,0)</f>
        <v>6</v>
      </c>
      <c r="F15">
        <v>6</v>
      </c>
      <c r="G15">
        <f t="shared" si="3"/>
        <v>-1.4361406616345072</v>
      </c>
      <c r="H15">
        <f t="shared" si="2"/>
        <v>1.1180339887498949</v>
      </c>
      <c r="I15">
        <f t="shared" si="2"/>
        <v>1.3043729868748772</v>
      </c>
      <c r="J15">
        <f t="shared" si="2"/>
        <v>0.96824583655185426</v>
      </c>
      <c r="K15">
        <f t="shared" si="2"/>
        <v>0.62828086243754322</v>
      </c>
      <c r="P15" s="14" t="s">
        <v>15</v>
      </c>
      <c r="Q15" s="14">
        <f>SUM(Q19:Q34)</f>
        <v>27.680940988835722</v>
      </c>
    </row>
    <row r="16" spans="1:22" x14ac:dyDescent="0.3">
      <c r="E16">
        <f>VLOOKUP(F16,$A$19:$K$34,1,0)</f>
        <v>1</v>
      </c>
      <c r="F16">
        <v>1</v>
      </c>
      <c r="G16">
        <f t="shared" si="3"/>
        <v>1.3491018336566583</v>
      </c>
      <c r="H16">
        <f t="shared" si="2"/>
        <v>0</v>
      </c>
      <c r="I16">
        <f t="shared" si="2"/>
        <v>-1.6770509831248424</v>
      </c>
      <c r="J16">
        <f t="shared" si="2"/>
        <v>-0.58094750193111255</v>
      </c>
      <c r="K16">
        <f t="shared" si="2"/>
        <v>-1.2565617248750864</v>
      </c>
    </row>
    <row r="17" spans="1:18" ht="15" thickBot="1" x14ac:dyDescent="0.35">
      <c r="B17" s="3" t="s">
        <v>16</v>
      </c>
      <c r="C17" s="3"/>
      <c r="D17" s="3"/>
      <c r="E17" s="3"/>
      <c r="F17" s="3"/>
    </row>
    <row r="18" spans="1:18" ht="40.200000000000003" thickBot="1" x14ac:dyDescent="0.35">
      <c r="A18" s="16" t="s">
        <v>7</v>
      </c>
      <c r="B18" s="16" t="s">
        <v>17</v>
      </c>
      <c r="C18" s="16" t="s">
        <v>18</v>
      </c>
      <c r="D18" s="16" t="s">
        <v>19</v>
      </c>
      <c r="E18" s="16" t="s">
        <v>20</v>
      </c>
      <c r="F18" s="16" t="s">
        <v>21</v>
      </c>
      <c r="G18" s="13" t="s">
        <v>9</v>
      </c>
      <c r="H18" s="13" t="s">
        <v>10</v>
      </c>
      <c r="I18" s="13" t="s">
        <v>11</v>
      </c>
      <c r="J18" s="13" t="s">
        <v>12</v>
      </c>
      <c r="K18" s="13" t="s">
        <v>13</v>
      </c>
      <c r="L18" s="13" t="s">
        <v>22</v>
      </c>
      <c r="M18" s="13" t="s">
        <v>23</v>
      </c>
      <c r="N18" s="13" t="s">
        <v>24</v>
      </c>
      <c r="O18" s="13" t="s">
        <v>25</v>
      </c>
      <c r="P18" s="13" t="s">
        <v>26</v>
      </c>
      <c r="Q18" s="13" t="s">
        <v>27</v>
      </c>
      <c r="R18" s="13" t="s">
        <v>28</v>
      </c>
    </row>
    <row r="19" spans="1:18" x14ac:dyDescent="0.3">
      <c r="A19" s="4">
        <v>1</v>
      </c>
      <c r="B19" s="5">
        <v>5</v>
      </c>
      <c r="C19" s="5">
        <v>4</v>
      </c>
      <c r="D19" s="5">
        <v>1</v>
      </c>
      <c r="E19" s="5">
        <v>2</v>
      </c>
      <c r="F19" s="5">
        <v>1</v>
      </c>
      <c r="G19">
        <f>STANDARDIZE(B19,$B$8,$B$9)</f>
        <v>1.3491018336566583</v>
      </c>
      <c r="H19">
        <f>STANDARDIZE(C19,$C$8,$C$9)</f>
        <v>0</v>
      </c>
      <c r="I19">
        <f>STANDARDIZE(D19,$D$8,$D$9)</f>
        <v>-1.6770509831248424</v>
      </c>
      <c r="J19">
        <f>STANDARDIZE(E19,$E$8,$E$9)</f>
        <v>-0.58094750193111255</v>
      </c>
      <c r="K19">
        <f>STANDARDIZE(F19,$F$8,$F$9)</f>
        <v>-1.2565617248750864</v>
      </c>
      <c r="L19">
        <f>SUMXMY2($G$12:$K$12,$G19:$K19)</f>
        <v>25.723365231259972</v>
      </c>
      <c r="M19">
        <f>SUMXMY2($G$13:$K$13,$G19:$K19)</f>
        <v>7.7295853269537487</v>
      </c>
      <c r="N19">
        <f>SUMXMY2($G$14:$K$14,$G19:$K19)</f>
        <v>2.4055555555555559</v>
      </c>
      <c r="O19">
        <f>SUMXMY2($G$15:$K$15,$G19:$K19)</f>
        <v>23.849096225412016</v>
      </c>
      <c r="P19">
        <f>SUMXMY2($G$16:$K$16,$G19:$K19)</f>
        <v>0</v>
      </c>
      <c r="Q19">
        <f>MIN(L19:P19)</f>
        <v>0</v>
      </c>
      <c r="R19">
        <f>MATCH(Q19,L19:P19,0)</f>
        <v>5</v>
      </c>
    </row>
    <row r="20" spans="1:18" x14ac:dyDescent="0.3">
      <c r="A20" s="4">
        <v>2</v>
      </c>
      <c r="B20" s="5">
        <v>4</v>
      </c>
      <c r="C20" s="5">
        <v>3</v>
      </c>
      <c r="D20" s="5">
        <v>4</v>
      </c>
      <c r="E20" s="5">
        <v>3</v>
      </c>
      <c r="F20" s="5">
        <v>2</v>
      </c>
      <c r="G20">
        <f t="shared" ref="G20:G34" si="4">STANDARDIZE(B20,$B$8,$B$9)</f>
        <v>0.65279120983386685</v>
      </c>
      <c r="H20">
        <f t="shared" ref="H20:H34" si="5">STANDARDIZE(C20,$C$8,$C$9)</f>
        <v>-1.1180339887498949</v>
      </c>
      <c r="I20">
        <f t="shared" ref="I20:I34" si="6">STANDARDIZE(D20,$D$8,$D$9)</f>
        <v>0.55901699437494745</v>
      </c>
      <c r="J20">
        <f t="shared" ref="J20:J34" si="7">STANDARDIZE(E20,$E$8,$E$9)</f>
        <v>0.19364916731037085</v>
      </c>
      <c r="K20">
        <f t="shared" ref="K20:K34" si="8">STANDARDIZE(F20,$F$8,$F$9)</f>
        <v>-0.62828086243754322</v>
      </c>
      <c r="L20">
        <f>SUMXMY2($G$12:$K$12,$G20:$K20)</f>
        <v>15.316267942583732</v>
      </c>
      <c r="M20">
        <f>SUMXMY2($G$13:$K$13,$G20:$K20)</f>
        <v>0</v>
      </c>
      <c r="N20">
        <f>SUMXMY2($G$14:$K$14,$G20:$K20)</f>
        <v>10.501807549175972</v>
      </c>
      <c r="O20">
        <f t="shared" ref="O20:O34" si="9">SUMXMY2($G$15:$K$15,$G20:$K20)</f>
        <v>12.098139287612971</v>
      </c>
      <c r="P20">
        <f t="shared" ref="P20:P34" si="10">SUMXMY2($G$16:$K$16,$G20:$K20)</f>
        <v>7.7295853269537487</v>
      </c>
      <c r="Q20">
        <f t="shared" ref="Q20:Q34" si="11">MIN(L20:P20)</f>
        <v>0</v>
      </c>
      <c r="R20">
        <f t="shared" ref="R20:R34" si="12">MATCH(Q20,L20:P20,0)</f>
        <v>2</v>
      </c>
    </row>
    <row r="21" spans="1:18" x14ac:dyDescent="0.3">
      <c r="A21" s="4">
        <v>3</v>
      </c>
      <c r="B21" s="5">
        <v>5</v>
      </c>
      <c r="C21" s="5">
        <v>4</v>
      </c>
      <c r="D21" s="5">
        <v>2</v>
      </c>
      <c r="E21" s="5">
        <v>1</v>
      </c>
      <c r="F21" s="5">
        <v>1</v>
      </c>
      <c r="G21">
        <f t="shared" si="4"/>
        <v>1.3491018336566583</v>
      </c>
      <c r="H21">
        <f t="shared" si="5"/>
        <v>0</v>
      </c>
      <c r="I21">
        <f t="shared" si="6"/>
        <v>-0.93169499062491234</v>
      </c>
      <c r="J21">
        <f t="shared" si="7"/>
        <v>-1.355544171172596</v>
      </c>
      <c r="K21">
        <f t="shared" si="8"/>
        <v>-1.2565617248750864</v>
      </c>
      <c r="L21">
        <f>SUMXMY2($G$12:$K$12,$G21:$K21)</f>
        <v>27.145587453482193</v>
      </c>
      <c r="M21">
        <f>SUMXMY2($G$13:$K$13,$G21:$K21)</f>
        <v>6.7518075491759708</v>
      </c>
      <c r="N21">
        <f>SUMXMY2($G$14:$K$14,$G21:$K21)</f>
        <v>1.2500000000000002</v>
      </c>
      <c r="O21">
        <f t="shared" si="9"/>
        <v>22.96020733652313</v>
      </c>
      <c r="P21">
        <f t="shared" si="10"/>
        <v>1.1555555555555559</v>
      </c>
      <c r="Q21">
        <f t="shared" si="11"/>
        <v>1.1555555555555559</v>
      </c>
      <c r="R21">
        <f t="shared" si="12"/>
        <v>5</v>
      </c>
    </row>
    <row r="22" spans="1:18" x14ac:dyDescent="0.3">
      <c r="A22" s="4">
        <v>4</v>
      </c>
      <c r="B22" s="5">
        <v>5</v>
      </c>
      <c r="C22" s="5">
        <v>5</v>
      </c>
      <c r="D22" s="5">
        <v>2</v>
      </c>
      <c r="E22" s="5">
        <v>1</v>
      </c>
      <c r="F22" s="5">
        <v>1</v>
      </c>
      <c r="G22">
        <f t="shared" si="4"/>
        <v>1.3491018336566583</v>
      </c>
      <c r="H22">
        <f t="shared" si="5"/>
        <v>1.1180339887498949</v>
      </c>
      <c r="I22">
        <f t="shared" si="6"/>
        <v>-0.93169499062491234</v>
      </c>
      <c r="J22">
        <f t="shared" si="7"/>
        <v>-1.355544171172596</v>
      </c>
      <c r="K22">
        <f t="shared" si="8"/>
        <v>-1.2565617248750864</v>
      </c>
      <c r="L22">
        <f t="shared" ref="L22:L34" si="13">SUMXMY2($G$12:$K$12,$G22:$K22)</f>
        <v>25.895587453482189</v>
      </c>
      <c r="M22">
        <f t="shared" ref="M22:M34" si="14">SUMXMY2($G$13:$K$13,$G22:$K22)</f>
        <v>10.501807549175972</v>
      </c>
      <c r="N22">
        <f t="shared" ref="N22:N34" si="15">SUMXMY2($G$14:$K$14,$G22:$K22)</f>
        <v>0</v>
      </c>
      <c r="O22">
        <f t="shared" si="9"/>
        <v>21.710207336523126</v>
      </c>
      <c r="P22">
        <f t="shared" si="10"/>
        <v>2.4055555555555559</v>
      </c>
      <c r="Q22">
        <f t="shared" si="11"/>
        <v>0</v>
      </c>
      <c r="R22">
        <f t="shared" si="12"/>
        <v>3</v>
      </c>
    </row>
    <row r="23" spans="1:18" x14ac:dyDescent="0.3">
      <c r="A23" s="4">
        <v>5</v>
      </c>
      <c r="B23" s="5">
        <v>4</v>
      </c>
      <c r="C23" s="5">
        <v>4</v>
      </c>
      <c r="D23" s="5">
        <v>1</v>
      </c>
      <c r="E23" s="5">
        <v>1</v>
      </c>
      <c r="F23" s="5">
        <v>1</v>
      </c>
      <c r="G23">
        <f t="shared" si="4"/>
        <v>0.65279120983386685</v>
      </c>
      <c r="H23">
        <f t="shared" si="5"/>
        <v>0</v>
      </c>
      <c r="I23">
        <f t="shared" si="6"/>
        <v>-1.6770509831248424</v>
      </c>
      <c r="J23">
        <f t="shared" si="7"/>
        <v>-1.355544171172596</v>
      </c>
      <c r="K23">
        <f t="shared" si="8"/>
        <v>-1.2565617248750864</v>
      </c>
      <c r="L23">
        <f t="shared" si="13"/>
        <v>26.529425837320574</v>
      </c>
      <c r="M23">
        <f t="shared" si="14"/>
        <v>9.0447368421052659</v>
      </c>
      <c r="N23">
        <f t="shared" si="15"/>
        <v>2.2904040404040407</v>
      </c>
      <c r="O23">
        <f t="shared" si="9"/>
        <v>23.455156831472618</v>
      </c>
      <c r="P23">
        <f t="shared" si="10"/>
        <v>1.084848484848485</v>
      </c>
      <c r="Q23">
        <f t="shared" si="11"/>
        <v>1.084848484848485</v>
      </c>
      <c r="R23">
        <f t="shared" si="12"/>
        <v>5</v>
      </c>
    </row>
    <row r="24" spans="1:18" x14ac:dyDescent="0.3">
      <c r="A24" s="4">
        <v>6</v>
      </c>
      <c r="B24" s="5">
        <v>1</v>
      </c>
      <c r="C24" s="5">
        <v>5</v>
      </c>
      <c r="D24" s="5">
        <v>5</v>
      </c>
      <c r="E24" s="5">
        <v>4</v>
      </c>
      <c r="F24" s="5">
        <v>4</v>
      </c>
      <c r="G24">
        <f t="shared" si="4"/>
        <v>-1.4361406616345072</v>
      </c>
      <c r="H24">
        <f t="shared" si="5"/>
        <v>1.1180339887498949</v>
      </c>
      <c r="I24">
        <f t="shared" si="6"/>
        <v>1.3043729868748772</v>
      </c>
      <c r="J24">
        <f t="shared" si="7"/>
        <v>0.96824583655185426</v>
      </c>
      <c r="K24">
        <f t="shared" si="8"/>
        <v>0.62828086243754322</v>
      </c>
      <c r="L24">
        <f t="shared" si="13"/>
        <v>1.5502923976608185</v>
      </c>
      <c r="M24">
        <f t="shared" si="14"/>
        <v>12.098139287612971</v>
      </c>
      <c r="N24">
        <f t="shared" si="15"/>
        <v>21.710207336523126</v>
      </c>
      <c r="O24">
        <f t="shared" si="9"/>
        <v>0</v>
      </c>
      <c r="P24">
        <f t="shared" si="10"/>
        <v>23.849096225412016</v>
      </c>
      <c r="Q24">
        <f t="shared" si="11"/>
        <v>0</v>
      </c>
      <c r="R24">
        <f t="shared" si="12"/>
        <v>4</v>
      </c>
    </row>
    <row r="25" spans="1:18" x14ac:dyDescent="0.3">
      <c r="A25" s="4">
        <v>7</v>
      </c>
      <c r="B25" s="5">
        <v>4</v>
      </c>
      <c r="C25" s="5">
        <v>4</v>
      </c>
      <c r="D25" s="5">
        <v>4</v>
      </c>
      <c r="E25" s="5">
        <v>3</v>
      </c>
      <c r="F25" s="5">
        <v>3</v>
      </c>
      <c r="G25">
        <f t="shared" si="4"/>
        <v>0.65279120983386685</v>
      </c>
      <c r="H25">
        <f t="shared" si="5"/>
        <v>0</v>
      </c>
      <c r="I25">
        <f t="shared" si="6"/>
        <v>0.55901699437494745</v>
      </c>
      <c r="J25">
        <f t="shared" si="7"/>
        <v>0.19364916731037085</v>
      </c>
      <c r="K25">
        <f t="shared" si="8"/>
        <v>0</v>
      </c>
      <c r="L25">
        <f t="shared" si="13"/>
        <v>9.5925837320574168</v>
      </c>
      <c r="M25">
        <f t="shared" si="14"/>
        <v>1.6447368421052633</v>
      </c>
      <c r="N25">
        <f t="shared" si="15"/>
        <v>7.9360180754917602</v>
      </c>
      <c r="O25">
        <f t="shared" si="9"/>
        <v>7.1639287612971811</v>
      </c>
      <c r="P25">
        <f t="shared" si="10"/>
        <v>7.663795853269538</v>
      </c>
      <c r="Q25">
        <f t="shared" si="11"/>
        <v>1.6447368421052633</v>
      </c>
      <c r="R25">
        <f t="shared" si="12"/>
        <v>2</v>
      </c>
    </row>
    <row r="26" spans="1:18" x14ac:dyDescent="0.3">
      <c r="A26" s="4">
        <v>8</v>
      </c>
      <c r="B26" s="5">
        <v>4</v>
      </c>
      <c r="C26" s="5">
        <v>3</v>
      </c>
      <c r="D26" s="5">
        <v>4</v>
      </c>
      <c r="E26" s="5">
        <v>2</v>
      </c>
      <c r="F26" s="5">
        <v>2</v>
      </c>
      <c r="G26">
        <f t="shared" si="4"/>
        <v>0.65279120983386685</v>
      </c>
      <c r="H26">
        <f t="shared" si="5"/>
        <v>-1.1180339887498949</v>
      </c>
      <c r="I26">
        <f t="shared" si="6"/>
        <v>0.55901699437494745</v>
      </c>
      <c r="J26">
        <f t="shared" si="7"/>
        <v>-0.58094750193111255</v>
      </c>
      <c r="K26">
        <f t="shared" si="8"/>
        <v>-0.62828086243754322</v>
      </c>
      <c r="L26">
        <f t="shared" si="13"/>
        <v>18.316267942583732</v>
      </c>
      <c r="M26">
        <f t="shared" si="14"/>
        <v>0.60000000000000009</v>
      </c>
      <c r="N26">
        <f t="shared" si="15"/>
        <v>8.7018075491759728</v>
      </c>
      <c r="O26">
        <f t="shared" si="9"/>
        <v>13.898139287612972</v>
      </c>
      <c r="P26">
        <f t="shared" si="10"/>
        <v>7.129585326953749</v>
      </c>
      <c r="Q26">
        <f t="shared" si="11"/>
        <v>0.60000000000000009</v>
      </c>
      <c r="R26">
        <f t="shared" si="12"/>
        <v>2</v>
      </c>
    </row>
    <row r="27" spans="1:18" x14ac:dyDescent="0.3">
      <c r="A27" s="4">
        <v>9</v>
      </c>
      <c r="B27" s="5">
        <v>1</v>
      </c>
      <c r="C27" s="5">
        <v>5</v>
      </c>
      <c r="D27" s="5">
        <v>4</v>
      </c>
      <c r="E27" s="5">
        <v>5</v>
      </c>
      <c r="F27" s="5">
        <v>5</v>
      </c>
      <c r="G27">
        <f t="shared" si="4"/>
        <v>-1.4361406616345072</v>
      </c>
      <c r="H27">
        <f t="shared" si="5"/>
        <v>1.1180339887498949</v>
      </c>
      <c r="I27">
        <f t="shared" si="6"/>
        <v>0.55901699437494745</v>
      </c>
      <c r="J27">
        <f t="shared" si="7"/>
        <v>1.7428425057933377</v>
      </c>
      <c r="K27">
        <f t="shared" si="8"/>
        <v>1.2565617248750864</v>
      </c>
      <c r="L27">
        <f t="shared" si="13"/>
        <v>0</v>
      </c>
      <c r="M27">
        <f t="shared" si="14"/>
        <v>15.316267942583732</v>
      </c>
      <c r="N27">
        <f t="shared" si="15"/>
        <v>25.895587453482189</v>
      </c>
      <c r="O27">
        <f t="shared" si="9"/>
        <v>1.5502923976608185</v>
      </c>
      <c r="P27">
        <f t="shared" si="10"/>
        <v>25.723365231259972</v>
      </c>
      <c r="Q27">
        <f t="shared" si="11"/>
        <v>0</v>
      </c>
      <c r="R27">
        <f t="shared" si="12"/>
        <v>1</v>
      </c>
    </row>
    <row r="28" spans="1:18" x14ac:dyDescent="0.3">
      <c r="A28" s="4">
        <v>10</v>
      </c>
      <c r="B28" s="5">
        <v>2</v>
      </c>
      <c r="C28" s="5">
        <v>4</v>
      </c>
      <c r="D28" s="5">
        <v>2</v>
      </c>
      <c r="E28" s="5">
        <v>2</v>
      </c>
      <c r="F28" s="5">
        <v>4</v>
      </c>
      <c r="G28">
        <f t="shared" si="4"/>
        <v>-0.73983003781171586</v>
      </c>
      <c r="H28">
        <f t="shared" si="5"/>
        <v>0</v>
      </c>
      <c r="I28">
        <f t="shared" si="6"/>
        <v>-0.93169499062491234</v>
      </c>
      <c r="J28">
        <f t="shared" si="7"/>
        <v>-0.58094750193111255</v>
      </c>
      <c r="K28">
        <f t="shared" si="8"/>
        <v>0.62828086243754322</v>
      </c>
      <c r="L28">
        <f t="shared" si="13"/>
        <v>9.7518075491759717</v>
      </c>
      <c r="M28">
        <f t="shared" si="14"/>
        <v>7.5905635300372145</v>
      </c>
      <c r="N28">
        <f t="shared" si="15"/>
        <v>9.7662679425837311</v>
      </c>
      <c r="O28">
        <f t="shared" si="9"/>
        <v>9.1348484848484865</v>
      </c>
      <c r="P28">
        <f t="shared" si="10"/>
        <v>8.4718234981392868</v>
      </c>
      <c r="Q28">
        <f t="shared" si="11"/>
        <v>7.5905635300372145</v>
      </c>
      <c r="R28">
        <f t="shared" si="12"/>
        <v>2</v>
      </c>
    </row>
    <row r="29" spans="1:18" x14ac:dyDescent="0.3">
      <c r="A29" s="4">
        <v>11</v>
      </c>
      <c r="B29" s="5">
        <v>1</v>
      </c>
      <c r="C29" s="5">
        <v>5</v>
      </c>
      <c r="D29" s="5">
        <v>5</v>
      </c>
      <c r="E29" s="5">
        <v>4</v>
      </c>
      <c r="F29" s="5">
        <v>5</v>
      </c>
      <c r="G29">
        <f t="shared" si="4"/>
        <v>-1.4361406616345072</v>
      </c>
      <c r="H29">
        <f t="shared" si="5"/>
        <v>1.1180339887498949</v>
      </c>
      <c r="I29">
        <f t="shared" si="6"/>
        <v>1.3043729868748772</v>
      </c>
      <c r="J29">
        <f t="shared" si="7"/>
        <v>0.96824583655185426</v>
      </c>
      <c r="K29">
        <f t="shared" si="8"/>
        <v>1.2565617248750864</v>
      </c>
      <c r="L29">
        <f t="shared" si="13"/>
        <v>1.1555555555555554</v>
      </c>
      <c r="M29">
        <f t="shared" si="14"/>
        <v>14.071823498139286</v>
      </c>
      <c r="N29">
        <f t="shared" si="15"/>
        <v>24.473365231259969</v>
      </c>
      <c r="O29">
        <f t="shared" si="9"/>
        <v>0.39473684210526311</v>
      </c>
      <c r="P29">
        <f t="shared" si="10"/>
        <v>26.612254120148858</v>
      </c>
      <c r="Q29">
        <f t="shared" si="11"/>
        <v>0.39473684210526311</v>
      </c>
      <c r="R29">
        <f t="shared" si="12"/>
        <v>4</v>
      </c>
    </row>
    <row r="30" spans="1:18" x14ac:dyDescent="0.3">
      <c r="A30" s="4">
        <v>12</v>
      </c>
      <c r="B30" s="5">
        <v>2</v>
      </c>
      <c r="C30" s="5">
        <v>5</v>
      </c>
      <c r="D30" s="5">
        <v>4</v>
      </c>
      <c r="E30" s="5">
        <v>5</v>
      </c>
      <c r="F30" s="5">
        <v>5</v>
      </c>
      <c r="G30">
        <f t="shared" si="4"/>
        <v>-0.73983003781171586</v>
      </c>
      <c r="H30">
        <f t="shared" si="5"/>
        <v>1.1180339887498949</v>
      </c>
      <c r="I30">
        <f t="shared" si="6"/>
        <v>0.55901699437494745</v>
      </c>
      <c r="J30">
        <f t="shared" si="7"/>
        <v>1.7428425057933377</v>
      </c>
      <c r="K30">
        <f t="shared" si="8"/>
        <v>1.2565617248750864</v>
      </c>
      <c r="L30">
        <f t="shared" si="13"/>
        <v>0.48484848484848475</v>
      </c>
      <c r="M30">
        <f t="shared" si="14"/>
        <v>12.892025518341308</v>
      </c>
      <c r="N30">
        <f t="shared" si="15"/>
        <v>22.501648059542795</v>
      </c>
      <c r="O30">
        <f t="shared" si="9"/>
        <v>2.0351408825093036</v>
      </c>
      <c r="P30">
        <f t="shared" si="10"/>
        <v>22.329425837320574</v>
      </c>
      <c r="Q30">
        <f t="shared" si="11"/>
        <v>0.48484848484848475</v>
      </c>
      <c r="R30">
        <f t="shared" si="12"/>
        <v>1</v>
      </c>
    </row>
    <row r="31" spans="1:18" x14ac:dyDescent="0.3">
      <c r="A31" s="4">
        <v>13</v>
      </c>
      <c r="B31" s="5">
        <v>3</v>
      </c>
      <c r="C31" s="5">
        <v>4</v>
      </c>
      <c r="D31" s="5">
        <v>3</v>
      </c>
      <c r="E31" s="5">
        <v>3</v>
      </c>
      <c r="F31" s="5">
        <v>5</v>
      </c>
      <c r="G31">
        <f t="shared" si="4"/>
        <v>-4.3519413988924463E-2</v>
      </c>
      <c r="H31">
        <f t="shared" si="5"/>
        <v>0</v>
      </c>
      <c r="I31">
        <f t="shared" si="6"/>
        <v>-0.18633899812498247</v>
      </c>
      <c r="J31">
        <f t="shared" si="7"/>
        <v>0.19364916731037085</v>
      </c>
      <c r="K31">
        <f t="shared" si="8"/>
        <v>1.2565617248750864</v>
      </c>
      <c r="L31">
        <f t="shared" si="13"/>
        <v>6.1449494949494952</v>
      </c>
      <c r="M31">
        <f t="shared" si="14"/>
        <v>5.8430356193514079</v>
      </c>
      <c r="N31">
        <f t="shared" si="15"/>
        <v>12.460738968633706</v>
      </c>
      <c r="O31">
        <f t="shared" si="9"/>
        <v>6.4063530037214251</v>
      </c>
      <c r="P31">
        <f t="shared" si="10"/>
        <v>11.077405635300373</v>
      </c>
      <c r="Q31">
        <f t="shared" si="11"/>
        <v>5.8430356193514079</v>
      </c>
      <c r="R31">
        <f t="shared" si="12"/>
        <v>2</v>
      </c>
    </row>
    <row r="32" spans="1:18" x14ac:dyDescent="0.3">
      <c r="A32" s="4">
        <v>14</v>
      </c>
      <c r="B32" s="5">
        <v>3</v>
      </c>
      <c r="C32" s="5">
        <v>3</v>
      </c>
      <c r="D32" s="5">
        <v>3</v>
      </c>
      <c r="E32" s="5">
        <v>3</v>
      </c>
      <c r="F32" s="5">
        <v>3</v>
      </c>
      <c r="G32">
        <f t="shared" si="4"/>
        <v>-4.3519413988924463E-2</v>
      </c>
      <c r="H32">
        <f t="shared" si="5"/>
        <v>-1.1180339887498949</v>
      </c>
      <c r="I32">
        <f t="shared" si="6"/>
        <v>-0.18633899812498247</v>
      </c>
      <c r="J32">
        <f t="shared" si="7"/>
        <v>0.19364916731037085</v>
      </c>
      <c r="K32">
        <f t="shared" si="8"/>
        <v>0</v>
      </c>
      <c r="L32">
        <f t="shared" si="13"/>
        <v>11.473896863370548</v>
      </c>
      <c r="M32">
        <f t="shared" si="14"/>
        <v>1.4351408825093033</v>
      </c>
      <c r="N32">
        <f t="shared" si="15"/>
        <v>11.47389686337055</v>
      </c>
      <c r="O32">
        <f t="shared" si="9"/>
        <v>10.156353003721426</v>
      </c>
      <c r="P32">
        <f t="shared" si="10"/>
        <v>7.5905635300372145</v>
      </c>
      <c r="Q32">
        <f t="shared" si="11"/>
        <v>1.4351408825093033</v>
      </c>
      <c r="R32">
        <f t="shared" si="12"/>
        <v>2</v>
      </c>
    </row>
    <row r="33" spans="1:22" x14ac:dyDescent="0.3">
      <c r="A33" s="4">
        <v>15</v>
      </c>
      <c r="B33" s="5">
        <v>3</v>
      </c>
      <c r="C33" s="5">
        <v>2</v>
      </c>
      <c r="D33" s="5">
        <v>5</v>
      </c>
      <c r="E33" s="5">
        <v>2</v>
      </c>
      <c r="F33" s="5">
        <v>2</v>
      </c>
      <c r="G33">
        <f t="shared" si="4"/>
        <v>-4.3519413988924463E-2</v>
      </c>
      <c r="H33">
        <f t="shared" si="5"/>
        <v>-2.2360679774997898</v>
      </c>
      <c r="I33">
        <f t="shared" si="6"/>
        <v>1.3043729868748772</v>
      </c>
      <c r="J33">
        <f t="shared" si="7"/>
        <v>-0.58094750193111255</v>
      </c>
      <c r="K33">
        <f t="shared" si="8"/>
        <v>-0.62828086243754322</v>
      </c>
      <c r="L33">
        <f t="shared" si="13"/>
        <v>22.697581073896863</v>
      </c>
      <c r="M33">
        <f t="shared" si="14"/>
        <v>2.8904040404040403</v>
      </c>
      <c r="N33">
        <f t="shared" si="15"/>
        <v>19.184130781499206</v>
      </c>
      <c r="O33">
        <f t="shared" si="9"/>
        <v>17.168341307814995</v>
      </c>
      <c r="P33">
        <f t="shared" si="10"/>
        <v>16.223019670388094</v>
      </c>
      <c r="Q33">
        <f t="shared" si="11"/>
        <v>2.8904040404040403</v>
      </c>
      <c r="R33">
        <f t="shared" si="12"/>
        <v>2</v>
      </c>
    </row>
    <row r="34" spans="1:22" x14ac:dyDescent="0.3">
      <c r="A34" s="4">
        <v>16</v>
      </c>
      <c r="B34" s="5">
        <v>2</v>
      </c>
      <c r="C34" s="5">
        <v>4</v>
      </c>
      <c r="D34" s="5">
        <v>3</v>
      </c>
      <c r="E34" s="5">
        <v>3</v>
      </c>
      <c r="F34" s="5">
        <v>4</v>
      </c>
      <c r="G34">
        <f t="shared" si="4"/>
        <v>-0.73983003781171586</v>
      </c>
      <c r="H34">
        <f t="shared" si="5"/>
        <v>0</v>
      </c>
      <c r="I34">
        <f t="shared" si="6"/>
        <v>-0.18633899812498247</v>
      </c>
      <c r="J34">
        <f t="shared" si="7"/>
        <v>0.19364916731037085</v>
      </c>
      <c r="K34">
        <f t="shared" si="8"/>
        <v>0.62828086243754322</v>
      </c>
      <c r="L34">
        <f t="shared" si="13"/>
        <v>5.0851408825093039</v>
      </c>
      <c r="M34">
        <f t="shared" si="14"/>
        <v>5.3238968633705479</v>
      </c>
      <c r="N34">
        <f t="shared" si="15"/>
        <v>12.121823498139287</v>
      </c>
      <c r="O34">
        <f t="shared" si="9"/>
        <v>4.5570707070707073</v>
      </c>
      <c r="P34">
        <f t="shared" si="10"/>
        <v>10.738490164805954</v>
      </c>
      <c r="Q34">
        <f t="shared" si="11"/>
        <v>4.5570707070707073</v>
      </c>
      <c r="R34">
        <f t="shared" si="12"/>
        <v>4</v>
      </c>
    </row>
    <row r="35" spans="1:22" x14ac:dyDescent="0.3">
      <c r="A35" s="4"/>
      <c r="B35" s="5"/>
      <c r="C35" s="5"/>
      <c r="D35" s="5"/>
      <c r="E35" s="5"/>
      <c r="F35" s="5"/>
    </row>
    <row r="36" spans="1:22" ht="18" x14ac:dyDescent="0.35">
      <c r="A36" s="10" t="s">
        <v>2</v>
      </c>
      <c r="B36" s="17"/>
      <c r="C36" s="17"/>
      <c r="D36" s="17"/>
      <c r="E36" s="17"/>
      <c r="F36" s="17"/>
      <c r="G36" s="11"/>
      <c r="H36" s="12"/>
      <c r="I36" s="12"/>
    </row>
    <row r="37" spans="1:22" x14ac:dyDescent="0.3">
      <c r="A37" s="4"/>
      <c r="B37" s="5"/>
      <c r="C37" s="5"/>
      <c r="D37" s="5"/>
      <c r="E37" s="5"/>
      <c r="F37" s="5"/>
    </row>
    <row r="38" spans="1:22" x14ac:dyDescent="0.3">
      <c r="A38" s="1" t="s">
        <v>4</v>
      </c>
      <c r="B38" s="5">
        <f>AVERAGE(B51:B66)</f>
        <v>3.0625</v>
      </c>
      <c r="C38" s="5">
        <f t="shared" ref="C38:E38" si="16">AVERAGE(C51:C66)</f>
        <v>4</v>
      </c>
      <c r="D38" s="5">
        <f t="shared" si="16"/>
        <v>3.25</v>
      </c>
      <c r="E38" s="5">
        <f t="shared" si="16"/>
        <v>2.75</v>
      </c>
      <c r="F38" s="5">
        <f>AVERAGE(F51:F66)</f>
        <v>3</v>
      </c>
    </row>
    <row r="39" spans="1:22" x14ac:dyDescent="0.3">
      <c r="A39" s="1" t="s">
        <v>5</v>
      </c>
      <c r="B39">
        <f>STDEV(B51:B66)</f>
        <v>1.4361406616345072</v>
      </c>
      <c r="C39">
        <f t="shared" ref="C39:E39" si="17">STDEV(C51:C66)</f>
        <v>0.89442719099991586</v>
      </c>
      <c r="D39">
        <f t="shared" si="17"/>
        <v>1.3416407864998738</v>
      </c>
      <c r="E39">
        <f t="shared" si="17"/>
        <v>1.2909944487358056</v>
      </c>
      <c r="F39">
        <f>STDEV(F51:F66)</f>
        <v>1.5916448515084429</v>
      </c>
    </row>
    <row r="40" spans="1:22" x14ac:dyDescent="0.3">
      <c r="A40" s="1"/>
    </row>
    <row r="41" spans="1:22" x14ac:dyDescent="0.3">
      <c r="A41" s="1"/>
      <c r="E41" s="1"/>
      <c r="F41" s="1" t="s">
        <v>6</v>
      </c>
      <c r="G41" s="1">
        <v>7</v>
      </c>
      <c r="H41" s="1">
        <v>8</v>
      </c>
      <c r="I41" s="1">
        <v>9</v>
      </c>
      <c r="J41" s="1">
        <v>10</v>
      </c>
      <c r="K41" s="1">
        <v>11</v>
      </c>
    </row>
    <row r="42" spans="1:22" ht="39.6" x14ac:dyDescent="0.3">
      <c r="A42" s="1"/>
      <c r="E42" s="1" t="s">
        <v>7</v>
      </c>
      <c r="F42" s="1" t="s">
        <v>8</v>
      </c>
      <c r="G42" s="13" t="s">
        <v>9</v>
      </c>
      <c r="H42" s="13" t="s">
        <v>10</v>
      </c>
      <c r="I42" s="13" t="s">
        <v>11</v>
      </c>
      <c r="J42" s="13" t="s">
        <v>12</v>
      </c>
      <c r="K42" s="13" t="s">
        <v>13</v>
      </c>
    </row>
    <row r="43" spans="1:22" x14ac:dyDescent="0.3">
      <c r="A43" s="1"/>
      <c r="E43">
        <f>VLOOKUP(F43,$A$51:$J$66,1)</f>
        <v>1</v>
      </c>
      <c r="F43">
        <v>1</v>
      </c>
      <c r="G43">
        <f>VLOOKUP($F43,$A$51:$K$66,G$41,0)</f>
        <v>1.3491018336566583</v>
      </c>
      <c r="H43">
        <f t="shared" ref="H43:K46" si="18">VLOOKUP($F43,$A$51:$K$66,H$41,0)</f>
        <v>0</v>
      </c>
      <c r="I43">
        <f t="shared" si="18"/>
        <v>-1.6770509831248424</v>
      </c>
      <c r="J43">
        <f t="shared" si="18"/>
        <v>-0.58094750193111255</v>
      </c>
      <c r="K43">
        <f t="shared" si="18"/>
        <v>-1.2565617248750864</v>
      </c>
    </row>
    <row r="44" spans="1:22" x14ac:dyDescent="0.3">
      <c r="A44" s="1"/>
      <c r="E44">
        <f>VLOOKUP(F44,$A$51:$J$66,1)</f>
        <v>9</v>
      </c>
      <c r="F44">
        <v>9</v>
      </c>
      <c r="G44">
        <f t="shared" ref="G44:G46" si="19">VLOOKUP($F44,$A$51:$K$66,G$41,0)</f>
        <v>-1.4361406616345072</v>
      </c>
      <c r="H44">
        <f t="shared" si="18"/>
        <v>1.1180339887498949</v>
      </c>
      <c r="I44">
        <f t="shared" si="18"/>
        <v>0.55901699437494745</v>
      </c>
      <c r="J44">
        <f t="shared" si="18"/>
        <v>1.7428425057933377</v>
      </c>
      <c r="K44">
        <f t="shared" si="18"/>
        <v>1.2565617248750864</v>
      </c>
      <c r="M44" s="14" t="s">
        <v>29</v>
      </c>
      <c r="N44" s="15"/>
      <c r="O44" s="15"/>
      <c r="P44" s="15"/>
      <c r="Q44" s="15"/>
      <c r="R44" s="15"/>
      <c r="S44" s="15"/>
      <c r="T44" s="15"/>
      <c r="U44" s="15"/>
      <c r="V44" s="15"/>
    </row>
    <row r="45" spans="1:22" x14ac:dyDescent="0.3">
      <c r="A45" s="1"/>
      <c r="E45">
        <f>VLOOKUP(F45,$A$51:$J$66,1)</f>
        <v>2</v>
      </c>
      <c r="F45">
        <v>2</v>
      </c>
      <c r="G45">
        <f t="shared" si="19"/>
        <v>0.65279120983386685</v>
      </c>
      <c r="H45">
        <f t="shared" si="18"/>
        <v>-1.1180339887498949</v>
      </c>
      <c r="I45">
        <f t="shared" si="18"/>
        <v>0.55901699437494745</v>
      </c>
      <c r="J45">
        <f t="shared" si="18"/>
        <v>0.19364916731037085</v>
      </c>
      <c r="K45">
        <f t="shared" si="18"/>
        <v>-0.62828086243754322</v>
      </c>
    </row>
    <row r="46" spans="1:22" x14ac:dyDescent="0.3">
      <c r="A46" s="1"/>
      <c r="E46">
        <f>VLOOKUP(F46,$A$51:$J$66,1)</f>
        <v>3</v>
      </c>
      <c r="F46">
        <v>3</v>
      </c>
      <c r="G46">
        <f t="shared" si="19"/>
        <v>1.3491018336566583</v>
      </c>
      <c r="H46">
        <f t="shared" si="18"/>
        <v>0</v>
      </c>
      <c r="I46">
        <f t="shared" si="18"/>
        <v>-0.93169499062491234</v>
      </c>
      <c r="J46">
        <f t="shared" si="18"/>
        <v>-1.355544171172596</v>
      </c>
      <c r="K46">
        <f t="shared" si="18"/>
        <v>-1.2565617248750864</v>
      </c>
      <c r="P46" s="14" t="s">
        <v>15</v>
      </c>
      <c r="Q46" s="14">
        <f>SUM(P51:P66)</f>
        <v>30.57012227538543</v>
      </c>
    </row>
    <row r="47" spans="1:22" x14ac:dyDescent="0.3">
      <c r="A47" s="1"/>
    </row>
    <row r="48" spans="1:22" x14ac:dyDescent="0.3">
      <c r="A48" s="1"/>
    </row>
    <row r="49" spans="1:17" ht="15" thickBot="1" x14ac:dyDescent="0.35"/>
    <row r="50" spans="1:17" ht="40.200000000000003" thickBot="1" x14ac:dyDescent="0.35">
      <c r="A50" s="16" t="s">
        <v>7</v>
      </c>
      <c r="B50" s="16" t="s">
        <v>17</v>
      </c>
      <c r="C50" s="16" t="s">
        <v>18</v>
      </c>
      <c r="D50" s="16" t="s">
        <v>19</v>
      </c>
      <c r="E50" s="16" t="s">
        <v>20</v>
      </c>
      <c r="F50" s="16" t="s">
        <v>21</v>
      </c>
      <c r="G50" s="13" t="s">
        <v>9</v>
      </c>
      <c r="H50" s="13" t="s">
        <v>10</v>
      </c>
      <c r="I50" s="13" t="s">
        <v>11</v>
      </c>
      <c r="J50" s="13" t="s">
        <v>12</v>
      </c>
      <c r="K50" s="13" t="s">
        <v>13</v>
      </c>
      <c r="L50" s="13" t="s">
        <v>22</v>
      </c>
      <c r="M50" s="13" t="s">
        <v>23</v>
      </c>
      <c r="N50" s="13" t="s">
        <v>24</v>
      </c>
      <c r="O50" s="13" t="s">
        <v>25</v>
      </c>
      <c r="P50" s="13" t="s">
        <v>27</v>
      </c>
      <c r="Q50" s="13" t="s">
        <v>30</v>
      </c>
    </row>
    <row r="51" spans="1:17" x14ac:dyDescent="0.3">
      <c r="A51" s="4">
        <v>1</v>
      </c>
      <c r="B51" s="5">
        <v>5</v>
      </c>
      <c r="C51" s="5">
        <v>4</v>
      </c>
      <c r="D51" s="5">
        <v>1</v>
      </c>
      <c r="E51" s="5">
        <v>2</v>
      </c>
      <c r="F51" s="5">
        <v>1</v>
      </c>
      <c r="G51">
        <f t="shared" ref="G51:G66" si="20">STANDARDIZE(B51,$B$38,$B$39)</f>
        <v>1.3491018336566583</v>
      </c>
      <c r="H51">
        <f t="shared" ref="H51:H66" si="21">STANDARDIZE(C51,$C$38,$C$39)</f>
        <v>0</v>
      </c>
      <c r="I51">
        <f t="shared" ref="I51:I66" si="22">STANDARDIZE(D51,$D$38,$D$39)</f>
        <v>-1.6770509831248424</v>
      </c>
      <c r="J51">
        <f t="shared" ref="J51:J66" si="23">STANDARDIZE(E51,$E$38,$E$39)</f>
        <v>-0.58094750193111255</v>
      </c>
      <c r="K51">
        <f>STANDARDIZE(F51,$F$38,$F$39)</f>
        <v>-1.2565617248750864</v>
      </c>
      <c r="L51">
        <f>SUMXMY2($G$43:$K$43,$G51:$K51)</f>
        <v>0</v>
      </c>
      <c r="M51">
        <f>SUMXMY2($G$44:$K$44,$G51:$K51)</f>
        <v>25.723365231259972</v>
      </c>
      <c r="N51">
        <f>SUMXMY2($G$45:$K$45,$G51:$K51)</f>
        <v>7.7295853269537487</v>
      </c>
      <c r="O51">
        <f>SUMXMY2($G$46:$K$46,$G51:$K51)</f>
        <v>1.1555555555555559</v>
      </c>
      <c r="P51">
        <f>MIN(L51:O51)</f>
        <v>0</v>
      </c>
      <c r="Q51">
        <f>MATCH(P51,L51:O51,0)</f>
        <v>1</v>
      </c>
    </row>
    <row r="52" spans="1:17" x14ac:dyDescent="0.3">
      <c r="A52" s="4">
        <v>2</v>
      </c>
      <c r="B52" s="5">
        <v>4</v>
      </c>
      <c r="C52" s="5">
        <v>3</v>
      </c>
      <c r="D52" s="5">
        <v>4</v>
      </c>
      <c r="E52" s="5">
        <v>3</v>
      </c>
      <c r="F52" s="5">
        <v>2</v>
      </c>
      <c r="G52">
        <f t="shared" si="20"/>
        <v>0.65279120983386685</v>
      </c>
      <c r="H52">
        <f t="shared" si="21"/>
        <v>-1.1180339887498949</v>
      </c>
      <c r="I52">
        <f t="shared" si="22"/>
        <v>0.55901699437494745</v>
      </c>
      <c r="J52">
        <f t="shared" si="23"/>
        <v>0.19364916731037085</v>
      </c>
      <c r="K52">
        <f t="shared" ref="K52:K66" si="24">STANDARDIZE(F52,$F$38,$F$39)</f>
        <v>-0.62828086243754322</v>
      </c>
      <c r="L52">
        <f t="shared" ref="L52:L66" si="25">SUMXMY2($G$43:$K$43,$G52:$K52)</f>
        <v>7.7295853269537487</v>
      </c>
      <c r="M52">
        <f t="shared" ref="M52:M66" si="26">SUMXMY2($G$44:$K$44,$G52:$K52)</f>
        <v>15.316267942583732</v>
      </c>
      <c r="N52">
        <f t="shared" ref="N52:N66" si="27">SUMXMY2($G$45:$K$45,$G52:$K52)</f>
        <v>0</v>
      </c>
      <c r="O52">
        <f t="shared" ref="O52:O66" si="28">SUMXMY2($G$46:$K$46,$G52:$K52)</f>
        <v>6.7518075491759708</v>
      </c>
      <c r="P52">
        <f t="shared" ref="P52:P66" si="29">MIN(L52:O52)</f>
        <v>0</v>
      </c>
      <c r="Q52">
        <f t="shared" ref="Q52:Q66" si="30">MATCH(P52,L52:O52,0)</f>
        <v>3</v>
      </c>
    </row>
    <row r="53" spans="1:17" x14ac:dyDescent="0.3">
      <c r="A53" s="4">
        <v>3</v>
      </c>
      <c r="B53" s="5">
        <v>5</v>
      </c>
      <c r="C53" s="5">
        <v>4</v>
      </c>
      <c r="D53" s="5">
        <v>2</v>
      </c>
      <c r="E53" s="5">
        <v>1</v>
      </c>
      <c r="F53" s="5">
        <v>1</v>
      </c>
      <c r="G53">
        <f t="shared" si="20"/>
        <v>1.3491018336566583</v>
      </c>
      <c r="H53">
        <f t="shared" si="21"/>
        <v>0</v>
      </c>
      <c r="I53">
        <f t="shared" si="22"/>
        <v>-0.93169499062491234</v>
      </c>
      <c r="J53">
        <f t="shared" si="23"/>
        <v>-1.355544171172596</v>
      </c>
      <c r="K53">
        <f t="shared" si="24"/>
        <v>-1.2565617248750864</v>
      </c>
      <c r="L53">
        <f t="shared" si="25"/>
        <v>1.1555555555555559</v>
      </c>
      <c r="M53">
        <f t="shared" si="26"/>
        <v>27.145587453482193</v>
      </c>
      <c r="N53">
        <f t="shared" si="27"/>
        <v>6.7518075491759708</v>
      </c>
      <c r="O53">
        <f t="shared" si="28"/>
        <v>0</v>
      </c>
      <c r="P53">
        <f t="shared" si="29"/>
        <v>0</v>
      </c>
      <c r="Q53">
        <f t="shared" si="30"/>
        <v>4</v>
      </c>
    </row>
    <row r="54" spans="1:17" x14ac:dyDescent="0.3">
      <c r="A54" s="4">
        <v>4</v>
      </c>
      <c r="B54" s="5">
        <v>5</v>
      </c>
      <c r="C54" s="5">
        <v>5</v>
      </c>
      <c r="D54" s="5">
        <v>2</v>
      </c>
      <c r="E54" s="5">
        <v>1</v>
      </c>
      <c r="F54" s="5">
        <v>1</v>
      </c>
      <c r="G54">
        <f t="shared" si="20"/>
        <v>1.3491018336566583</v>
      </c>
      <c r="H54">
        <f t="shared" si="21"/>
        <v>1.1180339887498949</v>
      </c>
      <c r="I54">
        <f t="shared" si="22"/>
        <v>-0.93169499062491234</v>
      </c>
      <c r="J54">
        <f t="shared" si="23"/>
        <v>-1.355544171172596</v>
      </c>
      <c r="K54">
        <f t="shared" si="24"/>
        <v>-1.2565617248750864</v>
      </c>
      <c r="L54">
        <f t="shared" si="25"/>
        <v>2.4055555555555559</v>
      </c>
      <c r="M54">
        <f t="shared" si="26"/>
        <v>25.895587453482189</v>
      </c>
      <c r="N54">
        <f t="shared" si="27"/>
        <v>10.501807549175972</v>
      </c>
      <c r="O54">
        <f t="shared" si="28"/>
        <v>1.2500000000000002</v>
      </c>
      <c r="P54">
        <f t="shared" si="29"/>
        <v>1.2500000000000002</v>
      </c>
      <c r="Q54">
        <f t="shared" si="30"/>
        <v>4</v>
      </c>
    </row>
    <row r="55" spans="1:17" x14ac:dyDescent="0.3">
      <c r="A55" s="4">
        <v>5</v>
      </c>
      <c r="B55" s="5">
        <v>4</v>
      </c>
      <c r="C55" s="5">
        <v>4</v>
      </c>
      <c r="D55" s="5">
        <v>1</v>
      </c>
      <c r="E55" s="5">
        <v>1</v>
      </c>
      <c r="F55" s="5">
        <v>1</v>
      </c>
      <c r="G55">
        <f t="shared" si="20"/>
        <v>0.65279120983386685</v>
      </c>
      <c r="H55">
        <f t="shared" si="21"/>
        <v>0</v>
      </c>
      <c r="I55">
        <f t="shared" si="22"/>
        <v>-1.6770509831248424</v>
      </c>
      <c r="J55">
        <f t="shared" si="23"/>
        <v>-1.355544171172596</v>
      </c>
      <c r="K55">
        <f t="shared" si="24"/>
        <v>-1.2565617248750864</v>
      </c>
      <c r="L55">
        <f t="shared" si="25"/>
        <v>1.084848484848485</v>
      </c>
      <c r="M55">
        <f t="shared" si="26"/>
        <v>26.529425837320574</v>
      </c>
      <c r="N55">
        <f t="shared" si="27"/>
        <v>9.0447368421052659</v>
      </c>
      <c r="O55">
        <f t="shared" si="28"/>
        <v>1.0404040404040407</v>
      </c>
      <c r="P55">
        <f t="shared" si="29"/>
        <v>1.0404040404040407</v>
      </c>
      <c r="Q55">
        <f t="shared" si="30"/>
        <v>4</v>
      </c>
    </row>
    <row r="56" spans="1:17" x14ac:dyDescent="0.3">
      <c r="A56" s="4">
        <v>6</v>
      </c>
      <c r="B56" s="5">
        <v>1</v>
      </c>
      <c r="C56" s="5">
        <v>5</v>
      </c>
      <c r="D56" s="5">
        <v>5</v>
      </c>
      <c r="E56" s="5">
        <v>4</v>
      </c>
      <c r="F56" s="5">
        <v>4</v>
      </c>
      <c r="G56">
        <f t="shared" si="20"/>
        <v>-1.4361406616345072</v>
      </c>
      <c r="H56">
        <f t="shared" si="21"/>
        <v>1.1180339887498949</v>
      </c>
      <c r="I56">
        <f t="shared" si="22"/>
        <v>1.3043729868748772</v>
      </c>
      <c r="J56">
        <f t="shared" si="23"/>
        <v>0.96824583655185426</v>
      </c>
      <c r="K56">
        <f t="shared" si="24"/>
        <v>0.62828086243754322</v>
      </c>
      <c r="L56">
        <f t="shared" si="25"/>
        <v>23.849096225412016</v>
      </c>
      <c r="M56">
        <f t="shared" si="26"/>
        <v>1.5502923976608185</v>
      </c>
      <c r="N56">
        <f t="shared" si="27"/>
        <v>12.098139287612971</v>
      </c>
      <c r="O56">
        <f t="shared" si="28"/>
        <v>22.96020733652313</v>
      </c>
      <c r="P56">
        <f t="shared" si="29"/>
        <v>1.5502923976608185</v>
      </c>
      <c r="Q56">
        <f t="shared" si="30"/>
        <v>2</v>
      </c>
    </row>
    <row r="57" spans="1:17" x14ac:dyDescent="0.3">
      <c r="A57" s="4">
        <v>7</v>
      </c>
      <c r="B57" s="5">
        <v>4</v>
      </c>
      <c r="C57" s="5">
        <v>4</v>
      </c>
      <c r="D57" s="5">
        <v>4</v>
      </c>
      <c r="E57" s="5">
        <v>3</v>
      </c>
      <c r="F57" s="5">
        <v>3</v>
      </c>
      <c r="G57">
        <f t="shared" si="20"/>
        <v>0.65279120983386685</v>
      </c>
      <c r="H57">
        <f t="shared" si="21"/>
        <v>0</v>
      </c>
      <c r="I57">
        <f t="shared" si="22"/>
        <v>0.55901699437494745</v>
      </c>
      <c r="J57">
        <f t="shared" si="23"/>
        <v>0.19364916731037085</v>
      </c>
      <c r="K57">
        <f t="shared" si="24"/>
        <v>0</v>
      </c>
      <c r="L57">
        <f t="shared" si="25"/>
        <v>7.663795853269538</v>
      </c>
      <c r="M57">
        <f t="shared" si="26"/>
        <v>9.5925837320574168</v>
      </c>
      <c r="N57">
        <f t="shared" si="27"/>
        <v>1.6447368421052633</v>
      </c>
      <c r="O57">
        <f t="shared" si="28"/>
        <v>6.6860180754917602</v>
      </c>
      <c r="P57">
        <f t="shared" si="29"/>
        <v>1.6447368421052633</v>
      </c>
      <c r="Q57">
        <f t="shared" si="30"/>
        <v>3</v>
      </c>
    </row>
    <row r="58" spans="1:17" x14ac:dyDescent="0.3">
      <c r="A58" s="4">
        <v>8</v>
      </c>
      <c r="B58" s="5">
        <v>4</v>
      </c>
      <c r="C58" s="5">
        <v>3</v>
      </c>
      <c r="D58" s="5">
        <v>4</v>
      </c>
      <c r="E58" s="5">
        <v>2</v>
      </c>
      <c r="F58" s="5">
        <v>2</v>
      </c>
      <c r="G58">
        <f t="shared" si="20"/>
        <v>0.65279120983386685</v>
      </c>
      <c r="H58">
        <f t="shared" si="21"/>
        <v>-1.1180339887498949</v>
      </c>
      <c r="I58">
        <f t="shared" si="22"/>
        <v>0.55901699437494745</v>
      </c>
      <c r="J58">
        <f t="shared" si="23"/>
        <v>-0.58094750193111255</v>
      </c>
      <c r="K58">
        <f t="shared" si="24"/>
        <v>-0.62828086243754322</v>
      </c>
      <c r="L58">
        <f t="shared" si="25"/>
        <v>7.129585326953749</v>
      </c>
      <c r="M58">
        <f t="shared" si="26"/>
        <v>18.316267942583732</v>
      </c>
      <c r="N58">
        <f t="shared" si="27"/>
        <v>0.60000000000000009</v>
      </c>
      <c r="O58">
        <f t="shared" si="28"/>
        <v>4.9518075491759701</v>
      </c>
      <c r="P58">
        <f t="shared" si="29"/>
        <v>0.60000000000000009</v>
      </c>
      <c r="Q58">
        <f t="shared" si="30"/>
        <v>3</v>
      </c>
    </row>
    <row r="59" spans="1:17" x14ac:dyDescent="0.3">
      <c r="A59" s="4">
        <v>9</v>
      </c>
      <c r="B59" s="5">
        <v>1</v>
      </c>
      <c r="C59" s="5">
        <v>5</v>
      </c>
      <c r="D59" s="5">
        <v>4</v>
      </c>
      <c r="E59" s="5">
        <v>5</v>
      </c>
      <c r="F59" s="5">
        <v>5</v>
      </c>
      <c r="G59">
        <f t="shared" si="20"/>
        <v>-1.4361406616345072</v>
      </c>
      <c r="H59">
        <f t="shared" si="21"/>
        <v>1.1180339887498949</v>
      </c>
      <c r="I59">
        <f t="shared" si="22"/>
        <v>0.55901699437494745</v>
      </c>
      <c r="J59">
        <f t="shared" si="23"/>
        <v>1.7428425057933377</v>
      </c>
      <c r="K59">
        <f t="shared" si="24"/>
        <v>1.2565617248750864</v>
      </c>
      <c r="L59">
        <f t="shared" si="25"/>
        <v>25.723365231259972</v>
      </c>
      <c r="M59">
        <f t="shared" si="26"/>
        <v>0</v>
      </c>
      <c r="N59">
        <f t="shared" si="27"/>
        <v>15.316267942583732</v>
      </c>
      <c r="O59">
        <f t="shared" si="28"/>
        <v>27.145587453482193</v>
      </c>
      <c r="P59">
        <f t="shared" si="29"/>
        <v>0</v>
      </c>
      <c r="Q59">
        <f t="shared" si="30"/>
        <v>2</v>
      </c>
    </row>
    <row r="60" spans="1:17" x14ac:dyDescent="0.3">
      <c r="A60" s="4">
        <v>10</v>
      </c>
      <c r="B60" s="5">
        <v>2</v>
      </c>
      <c r="C60" s="5">
        <v>4</v>
      </c>
      <c r="D60" s="5">
        <v>2</v>
      </c>
      <c r="E60" s="5">
        <v>2</v>
      </c>
      <c r="F60" s="5">
        <v>4</v>
      </c>
      <c r="G60">
        <f t="shared" si="20"/>
        <v>-0.73983003781171586</v>
      </c>
      <c r="H60">
        <f t="shared" si="21"/>
        <v>0</v>
      </c>
      <c r="I60">
        <f t="shared" si="22"/>
        <v>-0.93169499062491234</v>
      </c>
      <c r="J60">
        <f t="shared" si="23"/>
        <v>-0.58094750193111255</v>
      </c>
      <c r="K60">
        <f t="shared" si="24"/>
        <v>0.62828086243754322</v>
      </c>
      <c r="L60">
        <f t="shared" si="25"/>
        <v>8.4718234981392868</v>
      </c>
      <c r="M60">
        <f t="shared" si="26"/>
        <v>9.7518075491759717</v>
      </c>
      <c r="N60">
        <f t="shared" si="27"/>
        <v>7.5905635300372145</v>
      </c>
      <c r="O60">
        <f t="shared" si="28"/>
        <v>8.5162679425837311</v>
      </c>
      <c r="P60">
        <f t="shared" si="29"/>
        <v>7.5905635300372145</v>
      </c>
      <c r="Q60">
        <f t="shared" si="30"/>
        <v>3</v>
      </c>
    </row>
    <row r="61" spans="1:17" x14ac:dyDescent="0.3">
      <c r="A61" s="4">
        <v>11</v>
      </c>
      <c r="B61" s="5">
        <v>1</v>
      </c>
      <c r="C61" s="5">
        <v>5</v>
      </c>
      <c r="D61" s="5">
        <v>5</v>
      </c>
      <c r="E61" s="5">
        <v>4</v>
      </c>
      <c r="F61" s="5">
        <v>5</v>
      </c>
      <c r="G61">
        <f t="shared" si="20"/>
        <v>-1.4361406616345072</v>
      </c>
      <c r="H61">
        <f t="shared" si="21"/>
        <v>1.1180339887498949</v>
      </c>
      <c r="I61">
        <f t="shared" si="22"/>
        <v>1.3043729868748772</v>
      </c>
      <c r="J61">
        <f t="shared" si="23"/>
        <v>0.96824583655185426</v>
      </c>
      <c r="K61">
        <f t="shared" si="24"/>
        <v>1.2565617248750864</v>
      </c>
      <c r="L61">
        <f t="shared" si="25"/>
        <v>26.612254120148858</v>
      </c>
      <c r="M61">
        <f t="shared" si="26"/>
        <v>1.1555555555555554</v>
      </c>
      <c r="N61">
        <f t="shared" si="27"/>
        <v>14.071823498139286</v>
      </c>
      <c r="O61">
        <f t="shared" si="28"/>
        <v>25.723365231259972</v>
      </c>
      <c r="P61">
        <f t="shared" si="29"/>
        <v>1.1555555555555554</v>
      </c>
      <c r="Q61">
        <f t="shared" si="30"/>
        <v>2</v>
      </c>
    </row>
    <row r="62" spans="1:17" x14ac:dyDescent="0.3">
      <c r="A62" s="4">
        <v>12</v>
      </c>
      <c r="B62" s="5">
        <v>2</v>
      </c>
      <c r="C62" s="5">
        <v>5</v>
      </c>
      <c r="D62" s="5">
        <v>4</v>
      </c>
      <c r="E62" s="5">
        <v>5</v>
      </c>
      <c r="F62" s="5">
        <v>5</v>
      </c>
      <c r="G62">
        <f t="shared" si="20"/>
        <v>-0.73983003781171586</v>
      </c>
      <c r="H62">
        <f t="shared" si="21"/>
        <v>1.1180339887498949</v>
      </c>
      <c r="I62">
        <f t="shared" si="22"/>
        <v>0.55901699437494745</v>
      </c>
      <c r="J62">
        <f t="shared" si="23"/>
        <v>1.7428425057933377</v>
      </c>
      <c r="K62">
        <f t="shared" si="24"/>
        <v>1.2565617248750864</v>
      </c>
      <c r="L62">
        <f t="shared" si="25"/>
        <v>22.329425837320574</v>
      </c>
      <c r="M62">
        <f t="shared" si="26"/>
        <v>0.48484848484848475</v>
      </c>
      <c r="N62">
        <f t="shared" si="27"/>
        <v>12.892025518341308</v>
      </c>
      <c r="O62">
        <f t="shared" si="28"/>
        <v>23.751648059542795</v>
      </c>
      <c r="P62">
        <f t="shared" si="29"/>
        <v>0.48484848484848475</v>
      </c>
      <c r="Q62">
        <f t="shared" si="30"/>
        <v>2</v>
      </c>
    </row>
    <row r="63" spans="1:17" x14ac:dyDescent="0.3">
      <c r="A63" s="4">
        <v>13</v>
      </c>
      <c r="B63" s="5">
        <v>3</v>
      </c>
      <c r="C63" s="5">
        <v>4</v>
      </c>
      <c r="D63" s="5">
        <v>3</v>
      </c>
      <c r="E63" s="5">
        <v>3</v>
      </c>
      <c r="F63" s="5">
        <v>5</v>
      </c>
      <c r="G63">
        <f t="shared" si="20"/>
        <v>-4.3519413988924463E-2</v>
      </c>
      <c r="H63">
        <f t="shared" si="21"/>
        <v>0</v>
      </c>
      <c r="I63">
        <f t="shared" si="22"/>
        <v>-0.18633899812498247</v>
      </c>
      <c r="J63">
        <f t="shared" si="23"/>
        <v>0.19364916731037085</v>
      </c>
      <c r="K63">
        <f t="shared" si="24"/>
        <v>1.2565617248750864</v>
      </c>
      <c r="L63">
        <f t="shared" si="25"/>
        <v>11.077405635300373</v>
      </c>
      <c r="M63">
        <f t="shared" si="26"/>
        <v>6.1449494949494952</v>
      </c>
      <c r="N63">
        <f t="shared" si="27"/>
        <v>5.8430356193514079</v>
      </c>
      <c r="O63">
        <f t="shared" si="28"/>
        <v>11.210738968633706</v>
      </c>
      <c r="P63">
        <f t="shared" si="29"/>
        <v>5.8430356193514079</v>
      </c>
      <c r="Q63">
        <f t="shared" si="30"/>
        <v>3</v>
      </c>
    </row>
    <row r="64" spans="1:17" x14ac:dyDescent="0.3">
      <c r="A64" s="4">
        <v>14</v>
      </c>
      <c r="B64" s="5">
        <v>3</v>
      </c>
      <c r="C64" s="5">
        <v>3</v>
      </c>
      <c r="D64" s="5">
        <v>3</v>
      </c>
      <c r="E64" s="5">
        <v>3</v>
      </c>
      <c r="F64" s="5">
        <v>3</v>
      </c>
      <c r="G64">
        <f t="shared" si="20"/>
        <v>-4.3519413988924463E-2</v>
      </c>
      <c r="H64">
        <f t="shared" si="21"/>
        <v>-1.1180339887498949</v>
      </c>
      <c r="I64">
        <f t="shared" si="22"/>
        <v>-0.18633899812498247</v>
      </c>
      <c r="J64">
        <f t="shared" si="23"/>
        <v>0.19364916731037085</v>
      </c>
      <c r="K64">
        <f t="shared" si="24"/>
        <v>0</v>
      </c>
      <c r="L64">
        <f t="shared" si="25"/>
        <v>7.5905635300372145</v>
      </c>
      <c r="M64">
        <f t="shared" si="26"/>
        <v>11.473896863370548</v>
      </c>
      <c r="N64">
        <f t="shared" si="27"/>
        <v>1.4351408825093033</v>
      </c>
      <c r="O64">
        <f t="shared" si="28"/>
        <v>7.7238968633705483</v>
      </c>
      <c r="P64">
        <f t="shared" si="29"/>
        <v>1.4351408825093033</v>
      </c>
      <c r="Q64">
        <f t="shared" si="30"/>
        <v>3</v>
      </c>
    </row>
    <row r="65" spans="1:17" x14ac:dyDescent="0.3">
      <c r="A65" s="4">
        <v>15</v>
      </c>
      <c r="B65" s="5">
        <v>3</v>
      </c>
      <c r="C65" s="5">
        <v>2</v>
      </c>
      <c r="D65" s="5">
        <v>5</v>
      </c>
      <c r="E65" s="5">
        <v>2</v>
      </c>
      <c r="F65" s="5">
        <v>2</v>
      </c>
      <c r="G65">
        <f t="shared" si="20"/>
        <v>-4.3519413988924463E-2</v>
      </c>
      <c r="H65">
        <f t="shared" si="21"/>
        <v>-2.2360679774997898</v>
      </c>
      <c r="I65">
        <f t="shared" si="22"/>
        <v>1.3043729868748772</v>
      </c>
      <c r="J65">
        <f t="shared" si="23"/>
        <v>-0.58094750193111255</v>
      </c>
      <c r="K65">
        <f t="shared" si="24"/>
        <v>-0.62828086243754322</v>
      </c>
      <c r="L65">
        <f t="shared" si="25"/>
        <v>16.223019670388094</v>
      </c>
      <c r="M65">
        <f t="shared" si="26"/>
        <v>22.697581073896863</v>
      </c>
      <c r="N65">
        <f t="shared" si="27"/>
        <v>2.8904040404040403</v>
      </c>
      <c r="O65">
        <f t="shared" si="28"/>
        <v>12.934130781499205</v>
      </c>
      <c r="P65">
        <f t="shared" si="29"/>
        <v>2.8904040404040403</v>
      </c>
      <c r="Q65">
        <f t="shared" si="30"/>
        <v>3</v>
      </c>
    </row>
    <row r="66" spans="1:17" x14ac:dyDescent="0.3">
      <c r="A66" s="4">
        <v>16</v>
      </c>
      <c r="B66" s="5">
        <v>2</v>
      </c>
      <c r="C66" s="5">
        <v>4</v>
      </c>
      <c r="D66" s="5">
        <v>3</v>
      </c>
      <c r="E66" s="5">
        <v>3</v>
      </c>
      <c r="F66" s="5">
        <v>4</v>
      </c>
      <c r="G66">
        <f t="shared" si="20"/>
        <v>-0.73983003781171586</v>
      </c>
      <c r="H66">
        <f t="shared" si="21"/>
        <v>0</v>
      </c>
      <c r="I66">
        <f t="shared" si="22"/>
        <v>-0.18633899812498247</v>
      </c>
      <c r="J66">
        <f t="shared" si="23"/>
        <v>0.19364916731037085</v>
      </c>
      <c r="K66">
        <f t="shared" si="24"/>
        <v>0.62828086243754322</v>
      </c>
      <c r="L66">
        <f t="shared" si="25"/>
        <v>10.738490164805954</v>
      </c>
      <c r="M66">
        <f t="shared" si="26"/>
        <v>5.0851408825093039</v>
      </c>
      <c r="N66">
        <f t="shared" si="27"/>
        <v>5.3238968633705479</v>
      </c>
      <c r="O66">
        <f t="shared" si="28"/>
        <v>10.871823498139287</v>
      </c>
      <c r="P66">
        <f t="shared" si="29"/>
        <v>5.0851408825093039</v>
      </c>
      <c r="Q66">
        <f t="shared" si="30"/>
        <v>2</v>
      </c>
    </row>
    <row r="67" spans="1:17" x14ac:dyDescent="0.3">
      <c r="A67" s="4"/>
      <c r="B67" s="5"/>
      <c r="C67" s="5"/>
      <c r="D67" s="5"/>
      <c r="E67" s="5"/>
    </row>
    <row r="68" spans="1:17" ht="18" x14ac:dyDescent="0.35">
      <c r="A68" s="4"/>
      <c r="B68" s="10" t="s">
        <v>3</v>
      </c>
      <c r="C68" s="17"/>
      <c r="D68" s="17"/>
      <c r="E68" s="17"/>
      <c r="F68" s="11"/>
      <c r="G68" s="11"/>
      <c r="H68" s="11"/>
      <c r="I68" s="11"/>
      <c r="J68" s="11"/>
      <c r="K68" s="11"/>
      <c r="L68" s="11"/>
      <c r="M68" s="12"/>
      <c r="N68" s="12"/>
      <c r="O68" s="12"/>
    </row>
  </sheetData>
  <mergeCells count="1">
    <mergeCell ref="B17:F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3C6A-DA4D-4F37-B2D0-C5A573283454}">
  <dimension ref="A1:Y131"/>
  <sheetViews>
    <sheetView tabSelected="1" zoomScale="83" zoomScaleNormal="83" workbookViewId="0">
      <selection activeCell="E131" sqref="E131:P131"/>
    </sheetView>
  </sheetViews>
  <sheetFormatPr defaultRowHeight="14.4" x14ac:dyDescent="0.3"/>
  <cols>
    <col min="1" max="1" width="10.21875" customWidth="1"/>
    <col min="6" max="6" width="10.21875" customWidth="1"/>
    <col min="9" max="9" width="12" bestFit="1" customWidth="1"/>
    <col min="11" max="11" width="15.6640625" customWidth="1"/>
  </cols>
  <sheetData>
    <row r="1" spans="1:11" x14ac:dyDescent="0.3">
      <c r="A1" s="1" t="s">
        <v>0</v>
      </c>
    </row>
    <row r="2" spans="1:11" x14ac:dyDescent="0.3">
      <c r="A2" s="1" t="s">
        <v>31</v>
      </c>
    </row>
    <row r="3" spans="1:11" x14ac:dyDescent="0.3">
      <c r="A3" s="6" t="s">
        <v>32</v>
      </c>
    </row>
    <row r="4" spans="1:11" x14ac:dyDescent="0.3">
      <c r="A4" s="6" t="s">
        <v>33</v>
      </c>
    </row>
    <row r="5" spans="1:11" x14ac:dyDescent="0.3">
      <c r="A5" s="7" t="s">
        <v>34</v>
      </c>
    </row>
    <row r="6" spans="1:11" x14ac:dyDescent="0.3">
      <c r="A6" s="6" t="s">
        <v>35</v>
      </c>
    </row>
    <row r="7" spans="1:11" x14ac:dyDescent="0.3">
      <c r="A7" s="7" t="s">
        <v>36</v>
      </c>
    </row>
    <row r="8" spans="1:11" x14ac:dyDescent="0.3">
      <c r="A8" s="6" t="s">
        <v>37</v>
      </c>
    </row>
    <row r="9" spans="1:11" x14ac:dyDescent="0.3">
      <c r="A9" s="6" t="s">
        <v>38</v>
      </c>
    </row>
    <row r="11" spans="1:11" x14ac:dyDescent="0.3">
      <c r="A11" s="1" t="s">
        <v>39</v>
      </c>
    </row>
    <row r="13" spans="1:11" x14ac:dyDescent="0.3">
      <c r="J13" s="8" t="s">
        <v>40</v>
      </c>
    </row>
    <row r="14" spans="1:11" ht="15" thickBot="1" x14ac:dyDescent="0.35">
      <c r="B14" s="3" t="s">
        <v>16</v>
      </c>
      <c r="C14" s="3"/>
      <c r="D14" s="3"/>
      <c r="E14" s="3"/>
      <c r="F14" s="3"/>
      <c r="J14" s="1" t="s">
        <v>41</v>
      </c>
    </row>
    <row r="15" spans="1:11" ht="40.200000000000003" thickBot="1" x14ac:dyDescent="0.35">
      <c r="A15" s="16" t="s">
        <v>7</v>
      </c>
      <c r="B15" s="16" t="s">
        <v>17</v>
      </c>
      <c r="C15" s="16" t="s">
        <v>18</v>
      </c>
      <c r="D15" s="16" t="s">
        <v>19</v>
      </c>
      <c r="E15" s="16" t="s">
        <v>20</v>
      </c>
      <c r="F15" s="16" t="s">
        <v>21</v>
      </c>
      <c r="K15" s="16" t="s">
        <v>42</v>
      </c>
    </row>
    <row r="16" spans="1:11" x14ac:dyDescent="0.3">
      <c r="A16" s="4">
        <v>1</v>
      </c>
      <c r="B16" s="5">
        <v>5</v>
      </c>
      <c r="C16" s="5">
        <v>4</v>
      </c>
      <c r="D16" s="5">
        <v>1</v>
      </c>
      <c r="E16" s="5">
        <v>2</v>
      </c>
      <c r="F16" s="5">
        <v>1</v>
      </c>
      <c r="J16" s="1"/>
      <c r="K16">
        <v>1</v>
      </c>
    </row>
    <row r="17" spans="1:11" x14ac:dyDescent="0.3">
      <c r="A17" s="4">
        <v>2</v>
      </c>
      <c r="B17" s="5">
        <v>4</v>
      </c>
      <c r="C17" s="5">
        <v>3</v>
      </c>
      <c r="D17" s="5">
        <v>4</v>
      </c>
      <c r="E17" s="5">
        <v>3</v>
      </c>
      <c r="F17" s="5">
        <v>2</v>
      </c>
      <c r="K17">
        <v>2</v>
      </c>
    </row>
    <row r="18" spans="1:11" x14ac:dyDescent="0.3">
      <c r="A18" s="4">
        <v>3</v>
      </c>
      <c r="B18" s="5">
        <v>5</v>
      </c>
      <c r="C18" s="5">
        <v>4</v>
      </c>
      <c r="D18" s="5">
        <v>2</v>
      </c>
      <c r="E18" s="5">
        <v>1</v>
      </c>
      <c r="F18" s="5">
        <v>1</v>
      </c>
      <c r="K18">
        <v>1</v>
      </c>
    </row>
    <row r="19" spans="1:11" x14ac:dyDescent="0.3">
      <c r="A19" s="4">
        <v>4</v>
      </c>
      <c r="B19" s="5">
        <v>5</v>
      </c>
      <c r="C19" s="5">
        <v>5</v>
      </c>
      <c r="D19" s="5">
        <v>2</v>
      </c>
      <c r="E19" s="5">
        <v>1</v>
      </c>
      <c r="F19" s="5">
        <v>1</v>
      </c>
      <c r="K19">
        <v>1</v>
      </c>
    </row>
    <row r="20" spans="1:11" x14ac:dyDescent="0.3">
      <c r="A20" s="4">
        <v>5</v>
      </c>
      <c r="B20" s="5">
        <v>4</v>
      </c>
      <c r="C20" s="5">
        <v>4</v>
      </c>
      <c r="D20" s="5">
        <v>1</v>
      </c>
      <c r="E20" s="5">
        <v>1</v>
      </c>
      <c r="F20" s="5">
        <v>1</v>
      </c>
      <c r="K20">
        <v>1</v>
      </c>
    </row>
    <row r="21" spans="1:11" x14ac:dyDescent="0.3">
      <c r="A21" s="4">
        <v>6</v>
      </c>
      <c r="B21" s="5">
        <v>1</v>
      </c>
      <c r="C21" s="5">
        <v>5</v>
      </c>
      <c r="D21" s="5">
        <v>5</v>
      </c>
      <c r="E21" s="5">
        <v>4</v>
      </c>
      <c r="F21" s="5">
        <v>4</v>
      </c>
      <c r="K21">
        <v>4</v>
      </c>
    </row>
    <row r="22" spans="1:11" x14ac:dyDescent="0.3">
      <c r="A22" s="4">
        <v>7</v>
      </c>
      <c r="B22" s="5">
        <v>4</v>
      </c>
      <c r="C22" s="5">
        <v>4</v>
      </c>
      <c r="D22" s="5">
        <v>4</v>
      </c>
      <c r="E22" s="5">
        <v>3</v>
      </c>
      <c r="F22" s="5">
        <v>3</v>
      </c>
      <c r="K22">
        <v>3</v>
      </c>
    </row>
    <row r="23" spans="1:11" x14ac:dyDescent="0.3">
      <c r="A23" s="4">
        <v>8</v>
      </c>
      <c r="B23" s="5">
        <v>4</v>
      </c>
      <c r="C23" s="5">
        <v>3</v>
      </c>
      <c r="D23" s="5">
        <v>4</v>
      </c>
      <c r="E23" s="5">
        <v>2</v>
      </c>
      <c r="F23" s="5">
        <v>2</v>
      </c>
      <c r="K23">
        <v>2</v>
      </c>
    </row>
    <row r="24" spans="1:11" x14ac:dyDescent="0.3">
      <c r="A24" s="4">
        <v>9</v>
      </c>
      <c r="B24" s="5">
        <v>1</v>
      </c>
      <c r="C24" s="5">
        <v>5</v>
      </c>
      <c r="D24" s="5">
        <v>4</v>
      </c>
      <c r="E24" s="5">
        <v>5</v>
      </c>
      <c r="F24" s="5">
        <v>5</v>
      </c>
      <c r="K24">
        <v>5</v>
      </c>
    </row>
    <row r="25" spans="1:11" x14ac:dyDescent="0.3">
      <c r="A25" s="4">
        <v>10</v>
      </c>
      <c r="B25" s="5">
        <v>2</v>
      </c>
      <c r="C25" s="5">
        <v>4</v>
      </c>
      <c r="D25" s="5">
        <v>2</v>
      </c>
      <c r="E25" s="5">
        <v>2</v>
      </c>
      <c r="F25" s="5">
        <v>4</v>
      </c>
      <c r="K25">
        <v>4</v>
      </c>
    </row>
    <row r="26" spans="1:11" x14ac:dyDescent="0.3">
      <c r="A26" s="4">
        <v>11</v>
      </c>
      <c r="B26" s="5">
        <v>1</v>
      </c>
      <c r="C26" s="5">
        <v>5</v>
      </c>
      <c r="D26" s="5">
        <v>5</v>
      </c>
      <c r="E26" s="5">
        <v>4</v>
      </c>
      <c r="F26" s="5">
        <v>5</v>
      </c>
      <c r="K26">
        <v>5</v>
      </c>
    </row>
    <row r="27" spans="1:11" x14ac:dyDescent="0.3">
      <c r="A27" s="4">
        <v>12</v>
      </c>
      <c r="B27" s="5">
        <v>2</v>
      </c>
      <c r="C27" s="5">
        <v>5</v>
      </c>
      <c r="D27" s="5">
        <v>4</v>
      </c>
      <c r="E27" s="5">
        <v>5</v>
      </c>
      <c r="F27" s="5">
        <v>5</v>
      </c>
      <c r="K27">
        <v>5</v>
      </c>
    </row>
    <row r="28" spans="1:11" x14ac:dyDescent="0.3">
      <c r="A28" s="4">
        <v>13</v>
      </c>
      <c r="B28" s="5">
        <v>3</v>
      </c>
      <c r="C28" s="5">
        <v>4</v>
      </c>
      <c r="D28" s="5">
        <v>3</v>
      </c>
      <c r="E28" s="5">
        <v>3</v>
      </c>
      <c r="F28" s="5">
        <v>5</v>
      </c>
      <c r="K28">
        <v>5</v>
      </c>
    </row>
    <row r="29" spans="1:11" x14ac:dyDescent="0.3">
      <c r="A29" s="4">
        <v>14</v>
      </c>
      <c r="B29" s="5">
        <v>3</v>
      </c>
      <c r="C29" s="5">
        <v>3</v>
      </c>
      <c r="D29" s="5">
        <v>3</v>
      </c>
      <c r="E29" s="5">
        <v>3</v>
      </c>
      <c r="F29" s="5">
        <v>3</v>
      </c>
      <c r="K29">
        <v>3</v>
      </c>
    </row>
    <row r="30" spans="1:11" x14ac:dyDescent="0.3">
      <c r="A30" s="4">
        <v>15</v>
      </c>
      <c r="B30" s="5">
        <v>3</v>
      </c>
      <c r="C30" s="5">
        <v>2</v>
      </c>
      <c r="D30" s="5">
        <v>5</v>
      </c>
      <c r="E30" s="5">
        <v>2</v>
      </c>
      <c r="F30" s="5">
        <v>2</v>
      </c>
      <c r="K30">
        <v>2</v>
      </c>
    </row>
    <row r="31" spans="1:11" x14ac:dyDescent="0.3">
      <c r="A31" s="4">
        <v>16</v>
      </c>
      <c r="B31" s="5">
        <v>2</v>
      </c>
      <c r="C31" s="5">
        <v>4</v>
      </c>
      <c r="D31" s="5">
        <v>3</v>
      </c>
      <c r="E31" s="5">
        <v>3</v>
      </c>
      <c r="F31" s="5">
        <v>4</v>
      </c>
      <c r="K31">
        <v>4</v>
      </c>
    </row>
    <row r="32" spans="1:11" x14ac:dyDescent="0.3">
      <c r="B32" s="5"/>
    </row>
    <row r="33" spans="1:25" ht="18.600000000000001" thickBot="1" x14ac:dyDescent="0.4">
      <c r="H33" s="18" t="s">
        <v>32</v>
      </c>
      <c r="I33" s="11"/>
      <c r="J33" s="11"/>
      <c r="K33" s="11"/>
      <c r="L33" s="11"/>
      <c r="M33" s="11"/>
      <c r="N33" s="11"/>
      <c r="O33" s="11"/>
      <c r="P33" s="11"/>
      <c r="Q33" s="12"/>
    </row>
    <row r="34" spans="1:25" ht="40.200000000000003" thickBot="1" x14ac:dyDescent="0.35">
      <c r="A34" s="16" t="s">
        <v>7</v>
      </c>
      <c r="B34" s="16" t="s">
        <v>17</v>
      </c>
      <c r="C34" s="16" t="s">
        <v>18</v>
      </c>
      <c r="D34" s="16" t="s">
        <v>19</v>
      </c>
      <c r="E34" s="16" t="s">
        <v>20</v>
      </c>
      <c r="F34" s="16" t="s">
        <v>42</v>
      </c>
      <c r="I34" s="9">
        <v>1</v>
      </c>
      <c r="J34" s="9">
        <v>2</v>
      </c>
      <c r="K34" s="9">
        <v>3</v>
      </c>
      <c r="L34" s="9">
        <v>4</v>
      </c>
      <c r="M34" s="9">
        <v>5</v>
      </c>
      <c r="N34" s="9">
        <v>6</v>
      </c>
      <c r="O34" s="9">
        <v>7</v>
      </c>
      <c r="P34" s="9">
        <v>8</v>
      </c>
      <c r="Q34" s="9">
        <v>9</v>
      </c>
      <c r="R34" s="9">
        <v>10</v>
      </c>
      <c r="S34" s="9">
        <v>11</v>
      </c>
      <c r="T34" s="9">
        <v>12</v>
      </c>
      <c r="U34" s="9">
        <v>13</v>
      </c>
      <c r="V34" s="9">
        <v>14</v>
      </c>
      <c r="W34" s="9">
        <v>15</v>
      </c>
      <c r="X34" s="9">
        <v>16</v>
      </c>
      <c r="Y34" s="4"/>
    </row>
    <row r="35" spans="1:25" x14ac:dyDescent="0.3">
      <c r="A35" s="4">
        <v>1</v>
      </c>
      <c r="B35" s="5">
        <v>5</v>
      </c>
      <c r="C35" s="5">
        <v>4</v>
      </c>
      <c r="D35" s="5">
        <v>1</v>
      </c>
      <c r="E35" s="5">
        <v>2</v>
      </c>
      <c r="F35">
        <f>K16</f>
        <v>1</v>
      </c>
      <c r="H35" s="9">
        <v>1</v>
      </c>
      <c r="I35" s="4">
        <f>IF($H35=I$34,1000,SUMXMY2($A35:$F35,$A35:$F35))</f>
        <v>1000</v>
      </c>
      <c r="J35" s="4">
        <f>IF($H35=J$34,1000,SUMXMY2($A36:$F36,$A35:$F35))</f>
        <v>14</v>
      </c>
      <c r="K35" s="4">
        <f>IF($H35=K$34,1000,SUMXMY2($A37:$F37,$A35:$F35))</f>
        <v>6</v>
      </c>
      <c r="L35" s="4">
        <f>IF($H35=L$34,1000,SUMXMY2($A38:$F38,$A35:$F35))</f>
        <v>12</v>
      </c>
      <c r="M35" s="4">
        <f>IF($H35=M$34,1000,SUMXMY2($A39:$F39,$A35:$F35))</f>
        <v>18</v>
      </c>
      <c r="N35" s="4">
        <f>IF($H35=N$34,1000,SUMXMY2($A40:$F40,$A35:$F35))</f>
        <v>71</v>
      </c>
      <c r="O35" s="4">
        <f>IF($H35=O$34,1000,SUMXMY2($A41:$F41,$A35:$F35))</f>
        <v>51</v>
      </c>
      <c r="P35" s="4">
        <f>IF($H35=P$34,1000,SUMXMY2($A42:$F42,$A35:$F35))</f>
        <v>61</v>
      </c>
      <c r="Q35" s="4">
        <f>IF($H35=Q$34,1000,SUMXMY2($A43:$F43,$A35:$F35))</f>
        <v>115</v>
      </c>
      <c r="R35" s="4">
        <f>IF($H35=R$34,1000,SUMXMY2($A44:$F44,$A35:$F35))</f>
        <v>100</v>
      </c>
      <c r="S35" s="4">
        <f>IF($H35=S$34,1000,SUMXMY2($A45:$F45,$A35:$F35))</f>
        <v>153</v>
      </c>
      <c r="T35" s="4">
        <f>IF($H35=T$34,1000,SUMXMY2($A46:$F46,$A35:$F35))</f>
        <v>165</v>
      </c>
      <c r="U35" s="4">
        <f>IF($H35=U$34,1000,SUMXMY2($A47:$F47,$A35:$F35))</f>
        <v>169</v>
      </c>
      <c r="V35" s="4">
        <f>IF($H35=V$34,1000,SUMXMY2($A48:$F48,$A35:$F35))</f>
        <v>183</v>
      </c>
      <c r="W35" s="4">
        <f>IF($H35=W$34,1000,SUMXMY2($A49:$F49,$A35:$F35))</f>
        <v>221</v>
      </c>
      <c r="X35" s="4">
        <f>IF($H35=X$34,1000,SUMXMY2($A50:$F50,$A35:$F35))</f>
        <v>248</v>
      </c>
    </row>
    <row r="36" spans="1:25" x14ac:dyDescent="0.3">
      <c r="A36" s="4">
        <v>2</v>
      </c>
      <c r="B36" s="5">
        <v>4</v>
      </c>
      <c r="C36" s="5">
        <v>3</v>
      </c>
      <c r="D36" s="5">
        <v>4</v>
      </c>
      <c r="E36" s="5">
        <v>3</v>
      </c>
      <c r="F36">
        <f t="shared" ref="F36:F50" si="0">K17</f>
        <v>2</v>
      </c>
      <c r="H36" s="9">
        <v>2</v>
      </c>
      <c r="I36" s="4">
        <f>IF($H36=I$34,1000,SUMXMY2($A35:$F35,$A36:$F36))</f>
        <v>14</v>
      </c>
      <c r="J36" s="4">
        <f>IF($H36=J$34,1000,SUMXMY2($A36:$F36,$A36:$F36))</f>
        <v>1000</v>
      </c>
      <c r="K36" s="4">
        <f>IF($H36=K$34,1000,SUMXMY2($A37:$F37,$A36:$F36))</f>
        <v>12</v>
      </c>
      <c r="L36" s="4">
        <f>IF($H36=L$34,1000,SUMXMY2($A38:$F38,$A36:$F36))</f>
        <v>18</v>
      </c>
      <c r="M36" s="4">
        <f>IF($H36=M$34,1000,SUMXMY2($A39:$F39,$A36:$F36))</f>
        <v>24</v>
      </c>
      <c r="N36" s="4">
        <f>IF($H36=N$34,1000,SUMXMY2($A40:$F40,$A36:$F36))</f>
        <v>35</v>
      </c>
      <c r="O36" s="4">
        <f>IF($H36=O$34,1000,SUMXMY2($A41:$F41,$A36:$F36))</f>
        <v>27</v>
      </c>
      <c r="P36" s="4">
        <f>IF($H36=P$34,1000,SUMXMY2($A42:$F42,$A36:$F36))</f>
        <v>37</v>
      </c>
      <c r="Q36" s="4">
        <f>IF($H36=Q$34,1000,SUMXMY2($A43:$F43,$A36:$F36))</f>
        <v>75</v>
      </c>
      <c r="R36" s="4">
        <f>IF($H36=R$34,1000,SUMXMY2($A44:$F44,$A36:$F36))</f>
        <v>78</v>
      </c>
      <c r="S36" s="4">
        <f>IF($H36=S$34,1000,SUMXMY2($A45:$F45,$A36:$F36))</f>
        <v>105</v>
      </c>
      <c r="T36" s="4">
        <f>IF($H36=T$34,1000,SUMXMY2($A46:$F46,$A36:$F36))</f>
        <v>121</v>
      </c>
      <c r="U36" s="4">
        <f>IF($H36=U$34,1000,SUMXMY2($A47:$F47,$A36:$F36))</f>
        <v>133</v>
      </c>
      <c r="V36" s="4">
        <f>IF($H36=V$34,1000,SUMXMY2($A48:$F48,$A36:$F36))</f>
        <v>147</v>
      </c>
      <c r="W36" s="4">
        <f>IF($H36=W$34,1000,SUMXMY2($A49:$F49,$A36:$F36))</f>
        <v>173</v>
      </c>
      <c r="X36" s="4">
        <f>IF($H36=X$34,1000,SUMXMY2($A50:$F50,$A36:$F36))</f>
        <v>206</v>
      </c>
    </row>
    <row r="37" spans="1:25" x14ac:dyDescent="0.3">
      <c r="A37" s="4">
        <v>3</v>
      </c>
      <c r="B37" s="5">
        <v>5</v>
      </c>
      <c r="C37" s="5">
        <v>4</v>
      </c>
      <c r="D37" s="5">
        <v>2</v>
      </c>
      <c r="E37" s="5">
        <v>1</v>
      </c>
      <c r="F37">
        <f t="shared" si="0"/>
        <v>1</v>
      </c>
      <c r="H37" s="9">
        <v>3</v>
      </c>
      <c r="I37" s="4">
        <f>IF($H37=I$34,1000,SUMXMY2($A35:$F35,$A37:$F37))</f>
        <v>6</v>
      </c>
      <c r="J37" s="4">
        <f>IF($H37=J$34,1000,SUMXMY2($A37:$F37,$A36:$F36))</f>
        <v>12</v>
      </c>
      <c r="K37" s="4">
        <f>IF($H37=K$34,1000,SUMXMY2($A37:$F37,$A37:$F37))</f>
        <v>1000</v>
      </c>
      <c r="L37" s="4">
        <f>IF($H37=L$34,1000,SUMXMY2($A38:$F38,$A37:$F37))</f>
        <v>2</v>
      </c>
      <c r="M37" s="4">
        <f>IF($H37=M$34,1000,SUMXMY2($A39:$F39,$A37:$F37))</f>
        <v>6</v>
      </c>
      <c r="N37" s="4">
        <f>IF($H37=N$34,1000,SUMXMY2($A40:$F40,$A37:$F37))</f>
        <v>53</v>
      </c>
      <c r="O37" s="4">
        <f>IF($H37=O$34,1000,SUMXMY2($A41:$F41,$A37:$F37))</f>
        <v>29</v>
      </c>
      <c r="P37" s="4">
        <f>IF($H37=P$34,1000,SUMXMY2($A42:$F42,$A37:$F37))</f>
        <v>33</v>
      </c>
      <c r="Q37" s="4">
        <f>IF($H37=Q$34,1000,SUMXMY2($A43:$F43,$A37:$F37))</f>
        <v>89</v>
      </c>
      <c r="R37" s="4">
        <f>IF($H37=R$34,1000,SUMXMY2($A44:$F44,$A37:$F37))</f>
        <v>68</v>
      </c>
      <c r="S37" s="4">
        <f>IF($H37=S$34,1000,SUMXMY2($A45:$F45,$A37:$F37))</f>
        <v>115</v>
      </c>
      <c r="T37" s="4">
        <f>IF($H37=T$34,1000,SUMXMY2($A46:$F46,$A37:$F37))</f>
        <v>127</v>
      </c>
      <c r="U37" s="4">
        <f>IF($H37=U$34,1000,SUMXMY2($A47:$F47,$A37:$F37))</f>
        <v>125</v>
      </c>
      <c r="V37" s="4">
        <f>IF($H37=V$34,1000,SUMXMY2($A48:$F48,$A37:$F37))</f>
        <v>135</v>
      </c>
      <c r="W37" s="4">
        <f>IF($H37=W$34,1000,SUMXMY2($A49:$F49,$A37:$F37))</f>
        <v>163</v>
      </c>
      <c r="X37" s="4">
        <f>IF($H37=X$34,1000,SUMXMY2($A50:$F50,$A37:$F37))</f>
        <v>192</v>
      </c>
    </row>
    <row r="38" spans="1:25" x14ac:dyDescent="0.3">
      <c r="A38" s="4">
        <v>4</v>
      </c>
      <c r="B38" s="5">
        <v>5</v>
      </c>
      <c r="C38" s="5">
        <v>5</v>
      </c>
      <c r="D38" s="5">
        <v>2</v>
      </c>
      <c r="E38" s="5">
        <v>1</v>
      </c>
      <c r="F38">
        <f t="shared" si="0"/>
        <v>1</v>
      </c>
      <c r="H38" s="9">
        <v>4</v>
      </c>
      <c r="I38" s="4">
        <f>IF($H38=I$34,1000,SUMXMY2($A35:$F35,$A38:$F38))</f>
        <v>12</v>
      </c>
      <c r="J38" s="4">
        <f>IF($H38=J$34,1000,SUMXMY2($A38:$F38,$A36:$F36))</f>
        <v>18</v>
      </c>
      <c r="K38" s="4">
        <f>IF($H38=K$34,1000,SUMXMY2($A38:$F38,$A37:$F37))</f>
        <v>2</v>
      </c>
      <c r="L38" s="4">
        <f>IF($H38=L$34,1000,SUMXMY2($A38:$F38,$A38:$F38))</f>
        <v>1000</v>
      </c>
      <c r="M38" s="4">
        <f>IF($H38=M$34,1000,SUMXMY2($A39:$F39,$A38:$F38))</f>
        <v>4</v>
      </c>
      <c r="N38" s="4">
        <f>IF($H38=N$34,1000,SUMXMY2($A40:$F40,$A38:$F38))</f>
        <v>47</v>
      </c>
      <c r="O38" s="4">
        <f>IF($H38=O$34,1000,SUMXMY2($A41:$F41,$A38:$F38))</f>
        <v>23</v>
      </c>
      <c r="P38" s="4">
        <f>IF($H38=P$34,1000,SUMXMY2($A42:$F42,$A38:$F38))</f>
        <v>27</v>
      </c>
      <c r="Q38" s="4">
        <f>IF($H38=Q$34,1000,SUMXMY2($A43:$F43,$A38:$F38))</f>
        <v>77</v>
      </c>
      <c r="R38" s="4">
        <f>IF($H38=R$34,1000,SUMXMY2($A44:$F44,$A38:$F38))</f>
        <v>56</v>
      </c>
      <c r="S38" s="4">
        <f>IF($H38=S$34,1000,SUMXMY2($A45:$F45,$A38:$F38))</f>
        <v>99</v>
      </c>
      <c r="T38" s="4">
        <f>IF($H38=T$34,1000,SUMXMY2($A46:$F46,$A38:$F38))</f>
        <v>109</v>
      </c>
      <c r="U38" s="4">
        <f>IF($H38=U$34,1000,SUMXMY2($A47:$F47,$A38:$F38))</f>
        <v>107</v>
      </c>
      <c r="V38" s="4">
        <f>IF($H38=V$34,1000,SUMXMY2($A48:$F48,$A38:$F38))</f>
        <v>117</v>
      </c>
      <c r="W38" s="4">
        <f>IF($H38=W$34,1000,SUMXMY2($A49:$F49,$A38:$F38))</f>
        <v>145</v>
      </c>
      <c r="X38" s="4">
        <f>IF($H38=X$34,1000,SUMXMY2($A50:$F50,$A38:$F38))</f>
        <v>168</v>
      </c>
    </row>
    <row r="39" spans="1:25" x14ac:dyDescent="0.3">
      <c r="A39" s="4">
        <v>5</v>
      </c>
      <c r="B39" s="5">
        <v>4</v>
      </c>
      <c r="C39" s="5">
        <v>4</v>
      </c>
      <c r="D39" s="5">
        <v>1</v>
      </c>
      <c r="E39" s="5">
        <v>1</v>
      </c>
      <c r="F39">
        <f t="shared" si="0"/>
        <v>1</v>
      </c>
      <c r="H39" s="9">
        <v>5</v>
      </c>
      <c r="I39" s="4">
        <f>IF($H39=I$34,1000,SUMXMY2($A35:$F35,$A39:$F39))</f>
        <v>18</v>
      </c>
      <c r="J39" s="4">
        <f>IF($H39=J$34,1000,SUMXMY2($A39:$F39,$A36:$F36))</f>
        <v>24</v>
      </c>
      <c r="K39" s="4">
        <f>IF($H39=K$34,1000,SUMXMY2($A39:$F39,$A37:$F37))</f>
        <v>6</v>
      </c>
      <c r="L39" s="4">
        <f>IF($H39=L$34,1000,SUMXMY2($A39:$F39,$A38:$F38))</f>
        <v>4</v>
      </c>
      <c r="M39" s="4">
        <f>IF($H39=M$34,1000,SUMXMY2($A39:$F39,$A39:$F39))</f>
        <v>1000</v>
      </c>
      <c r="N39" s="4">
        <f>IF($H39=N$34,1000,SUMXMY2($A40:$F40,$A39:$F39))</f>
        <v>45</v>
      </c>
      <c r="O39" s="4">
        <f>IF($H39=O$34,1000,SUMXMY2($A41:$F41,$A39:$F39))</f>
        <v>21</v>
      </c>
      <c r="P39" s="4">
        <f>IF($H39=P$34,1000,SUMXMY2($A42:$F42,$A39:$F39))</f>
        <v>21</v>
      </c>
      <c r="Q39" s="4">
        <f>IF($H39=Q$34,1000,SUMXMY2($A43:$F43,$A39:$F39))</f>
        <v>67</v>
      </c>
      <c r="R39" s="4">
        <f>IF($H39=R$34,1000,SUMXMY2($A44:$F44,$A39:$F39))</f>
        <v>40</v>
      </c>
      <c r="S39" s="4">
        <f>IF($H39=S$34,1000,SUMXMY2($A45:$F45,$A39:$F39))</f>
        <v>87</v>
      </c>
      <c r="T39" s="4">
        <f>IF($H39=T$34,1000,SUMXMY2($A46:$F46,$A39:$F39))</f>
        <v>95</v>
      </c>
      <c r="U39" s="4">
        <f>IF($H39=U$34,1000,SUMXMY2($A47:$F47,$A39:$F39))</f>
        <v>89</v>
      </c>
      <c r="V39" s="4">
        <f>IF($H39=V$34,1000,SUMXMY2($A48:$F48,$A39:$F39))</f>
        <v>95</v>
      </c>
      <c r="W39" s="4">
        <f>IF($H39=W$34,1000,SUMXMY2($A49:$F49,$A39:$F39))</f>
        <v>123</v>
      </c>
      <c r="X39" s="4">
        <f>IF($H39=X$34,1000,SUMXMY2($A50:$F50,$A39:$F39))</f>
        <v>142</v>
      </c>
    </row>
    <row r="40" spans="1:25" x14ac:dyDescent="0.3">
      <c r="A40" s="4">
        <v>6</v>
      </c>
      <c r="B40" s="5">
        <v>1</v>
      </c>
      <c r="C40" s="5">
        <v>5</v>
      </c>
      <c r="D40" s="5">
        <v>5</v>
      </c>
      <c r="E40" s="5">
        <v>4</v>
      </c>
      <c r="F40">
        <f t="shared" si="0"/>
        <v>4</v>
      </c>
      <c r="H40" s="9">
        <v>6</v>
      </c>
      <c r="I40" s="4">
        <f>IF($H40=I$34,1000,SUMXMY2($A35:$F35,$A40:$F40))</f>
        <v>71</v>
      </c>
      <c r="J40" s="4">
        <f>IF($H40=J$34,1000,SUMXMY2($A40:$F40,$A36:$F36))</f>
        <v>35</v>
      </c>
      <c r="K40" s="4">
        <f>IF($H40=K$34,1000,SUMXMY2($A40:$F40,$A37:$F37))</f>
        <v>53</v>
      </c>
      <c r="L40" s="4">
        <f>IF($H40=L$34,1000,SUMXMY2($A40:$F40,$A38:$F38))</f>
        <v>47</v>
      </c>
      <c r="M40" s="4">
        <f>IF($H40=M$34,1000,SUMXMY2($A40:$F40,$A39:$F39))</f>
        <v>45</v>
      </c>
      <c r="N40" s="4">
        <f>IF($H40=N$34,1000,SUMXMY2($A40:$F40,$A40:$F40))</f>
        <v>1000</v>
      </c>
      <c r="O40" s="4">
        <f>IF($H40=O$34,1000,SUMXMY2($A41:$F41,$A40:$F40))</f>
        <v>14</v>
      </c>
      <c r="P40" s="4">
        <f>IF($H40=P$34,1000,SUMXMY2($A42:$F42,$A40:$F40))</f>
        <v>26</v>
      </c>
      <c r="Q40" s="4">
        <f>IF($H40=Q$34,1000,SUMXMY2($A43:$F43,$A40:$F40))</f>
        <v>12</v>
      </c>
      <c r="R40" s="4">
        <f>IF($H40=R$34,1000,SUMXMY2($A44:$F44,$A40:$F40))</f>
        <v>31</v>
      </c>
      <c r="S40" s="4">
        <f>IF($H40=S$34,1000,SUMXMY2($A45:$F45,$A40:$F40))</f>
        <v>26</v>
      </c>
      <c r="T40" s="4">
        <f>IF($H40=T$34,1000,SUMXMY2($A46:$F46,$A40:$F40))</f>
        <v>40</v>
      </c>
      <c r="U40" s="4">
        <f>IF($H40=U$34,1000,SUMXMY2($A47:$F47,$A40:$F40))</f>
        <v>60</v>
      </c>
      <c r="V40" s="4">
        <f>IF($H40=V$34,1000,SUMXMY2($A48:$F48,$A40:$F40))</f>
        <v>78</v>
      </c>
      <c r="W40" s="4">
        <f>IF($H40=W$34,1000,SUMXMY2($A49:$F49,$A40:$F40))</f>
        <v>102</v>
      </c>
      <c r="X40" s="4">
        <f>IF($H40=X$34,1000,SUMXMY2($A50:$F50,$A40:$F40))</f>
        <v>107</v>
      </c>
    </row>
    <row r="41" spans="1:25" x14ac:dyDescent="0.3">
      <c r="A41" s="4">
        <v>7</v>
      </c>
      <c r="B41" s="5">
        <v>4</v>
      </c>
      <c r="C41" s="5">
        <v>4</v>
      </c>
      <c r="D41" s="5">
        <v>4</v>
      </c>
      <c r="E41" s="5">
        <v>3</v>
      </c>
      <c r="F41">
        <f t="shared" si="0"/>
        <v>3</v>
      </c>
      <c r="H41" s="9">
        <v>7</v>
      </c>
      <c r="I41" s="4">
        <f>IF($H41=I$34,1000,SUMXMY2($A35:$F35,$A41:$F41))</f>
        <v>51</v>
      </c>
      <c r="J41" s="4">
        <f>IF($H41=J$34,1000,SUMXMY2($A41:$F41,$A36:$F36))</f>
        <v>27</v>
      </c>
      <c r="K41" s="4">
        <f>IF($H41=K$34,1000,SUMXMY2($A41:$F41,$A37:$F37))</f>
        <v>29</v>
      </c>
      <c r="L41" s="4">
        <f>IF($H41=L$34,1000,SUMXMY2($A41:$F41,$A38:$F38))</f>
        <v>23</v>
      </c>
      <c r="M41" s="4">
        <f>IF($H41=M$34,1000,SUMXMY2($A41:$F41,$A39:$F39))</f>
        <v>21</v>
      </c>
      <c r="N41" s="4">
        <f>IF($H41=N$34,1000,SUMXMY2($A41:$F41,$A40:$F40))</f>
        <v>14</v>
      </c>
      <c r="O41" s="4">
        <f>IF($H41=O$34,1000,SUMXMY2($A41:$F41,$A41:$F41))</f>
        <v>1000</v>
      </c>
      <c r="P41" s="4">
        <f>IF($H41=P$34,1000,SUMXMY2($A42:$F42,$A41:$F41))</f>
        <v>4</v>
      </c>
      <c r="Q41" s="4">
        <f>IF($H41=Q$34,1000,SUMXMY2($A43:$F43,$A41:$F41))</f>
        <v>22</v>
      </c>
      <c r="R41" s="4">
        <f>IF($H41=R$34,1000,SUMXMY2($A44:$F44,$A41:$F41))</f>
        <v>19</v>
      </c>
      <c r="S41" s="4">
        <f>IF($H41=S$34,1000,SUMXMY2($A45:$F45,$A41:$F41))</f>
        <v>32</v>
      </c>
      <c r="T41" s="4">
        <f>IF($H41=T$34,1000,SUMXMY2($A46:$F46,$A41:$F41))</f>
        <v>38</v>
      </c>
      <c r="U41" s="4">
        <f>IF($H41=U$34,1000,SUMXMY2($A47:$F47,$A41:$F41))</f>
        <v>42</v>
      </c>
      <c r="V41" s="4">
        <f>IF($H41=V$34,1000,SUMXMY2($A48:$F48,$A41:$F41))</f>
        <v>52</v>
      </c>
      <c r="W41" s="4">
        <f>IF($H41=W$34,1000,SUMXMY2($A49:$F49,$A41:$F41))</f>
        <v>72</v>
      </c>
      <c r="X41" s="4">
        <f>IF($H41=X$34,1000,SUMXMY2($A50:$F50,$A41:$F41))</f>
        <v>87</v>
      </c>
    </row>
    <row r="42" spans="1:25" x14ac:dyDescent="0.3">
      <c r="A42" s="4">
        <v>8</v>
      </c>
      <c r="B42" s="5">
        <v>4</v>
      </c>
      <c r="C42" s="5">
        <v>3</v>
      </c>
      <c r="D42" s="5">
        <v>4</v>
      </c>
      <c r="E42" s="5">
        <v>2</v>
      </c>
      <c r="F42">
        <f t="shared" si="0"/>
        <v>2</v>
      </c>
      <c r="H42" s="9">
        <v>8</v>
      </c>
      <c r="I42" s="4">
        <f>IF($H42=I$34,1000,SUMXMY2($A35:$F35,$A42:$F42))</f>
        <v>61</v>
      </c>
      <c r="J42" s="4">
        <f>IF($H42=J$34,1000,SUMXMY2($A42:$F42,$A36:$F36))</f>
        <v>37</v>
      </c>
      <c r="K42" s="4">
        <f>IF($H42=K$34,1000,SUMXMY2($A42:$F42,$A37:$F37))</f>
        <v>33</v>
      </c>
      <c r="L42" s="4">
        <f>IF($H42=L$34,1000,SUMXMY2($A42:$F42,$A38:$F38))</f>
        <v>27</v>
      </c>
      <c r="M42" s="4">
        <f>IF($H42=M$34,1000,SUMXMY2($A42:$F42,$A39:$F39))</f>
        <v>21</v>
      </c>
      <c r="N42" s="4">
        <f>IF($H42=N$34,1000,SUMXMY2($A42:$F42,$A40:$F40))</f>
        <v>26</v>
      </c>
      <c r="O42" s="4">
        <f>IF($H42=O$34,1000,SUMXMY2($A42:$F42,$A41:$F41))</f>
        <v>4</v>
      </c>
      <c r="P42" s="4">
        <f>IF($H42=P$34,1000,SUMXMY2($A42:$F42,$A42:$F42))</f>
        <v>1000</v>
      </c>
      <c r="Q42" s="4">
        <f>IF($H42=Q$34,1000,SUMXMY2($A43:$F43,$A42:$F42))</f>
        <v>32</v>
      </c>
      <c r="R42" s="4">
        <f>IF($H42=R$34,1000,SUMXMY2($A44:$F44,$A42:$F42))</f>
        <v>17</v>
      </c>
      <c r="S42" s="4">
        <f>IF($H42=S$34,1000,SUMXMY2($A45:$F45,$A42:$F42))</f>
        <v>36</v>
      </c>
      <c r="T42" s="4">
        <f>IF($H42=T$34,1000,SUMXMY2($A46:$F46,$A42:$F42))</f>
        <v>42</v>
      </c>
      <c r="U42" s="4">
        <f>IF($H42=U$34,1000,SUMXMY2($A47:$F47,$A42:$F42))</f>
        <v>38</v>
      </c>
      <c r="V42" s="4">
        <f>IF($H42=V$34,1000,SUMXMY2($A48:$F48,$A42:$F42))</f>
        <v>40</v>
      </c>
      <c r="W42" s="4">
        <f>IF($H42=W$34,1000,SUMXMY2($A49:$F49,$A42:$F42))</f>
        <v>52</v>
      </c>
      <c r="X42" s="4">
        <f>IF($H42=X$34,1000,SUMXMY2($A50:$F50,$A42:$F42))</f>
        <v>75</v>
      </c>
    </row>
    <row r="43" spans="1:25" x14ac:dyDescent="0.3">
      <c r="A43" s="4">
        <v>9</v>
      </c>
      <c r="B43" s="5">
        <v>1</v>
      </c>
      <c r="C43" s="5">
        <v>5</v>
      </c>
      <c r="D43" s="5">
        <v>4</v>
      </c>
      <c r="E43" s="5">
        <v>5</v>
      </c>
      <c r="F43">
        <f t="shared" si="0"/>
        <v>5</v>
      </c>
      <c r="H43" s="9">
        <v>9</v>
      </c>
      <c r="I43" s="4">
        <f>IF($H43=I$34,1000,SUMXMY2($A35:$F35,$A43:$F43))</f>
        <v>115</v>
      </c>
      <c r="J43" s="4">
        <f>IF($H43=J$34,1000,SUMXMY2($A43:$F43,$A36:$F36))</f>
        <v>75</v>
      </c>
      <c r="K43" s="4">
        <f>IF($H43=K$34,1000,SUMXMY2($A43:$F43,$A37:$F37))</f>
        <v>89</v>
      </c>
      <c r="L43" s="4">
        <f>IF($H43=L$34,1000,SUMXMY2($A43:$F43,$A38:$F38))</f>
        <v>77</v>
      </c>
      <c r="M43" s="4">
        <f>IF($H43=M$34,1000,SUMXMY2($A43:$F43,$A39:$F39))</f>
        <v>67</v>
      </c>
      <c r="N43" s="4">
        <f>IF($H43=N$34,1000,SUMXMY2($A43:$F43,$A40:$F40))</f>
        <v>12</v>
      </c>
      <c r="O43" s="4">
        <f>IF($H43=O$34,1000,SUMXMY2($A43:$F43,$A41:$F41))</f>
        <v>22</v>
      </c>
      <c r="P43" s="4">
        <f>IF($H43=P$34,1000,SUMXMY2($A43:$F43,$A42:$F42))</f>
        <v>32</v>
      </c>
      <c r="Q43" s="4">
        <f>IF($H43=Q$34,1000,SUMXMY2($A43:$F43,$A43:$F43))</f>
        <v>1000</v>
      </c>
      <c r="R43" s="4">
        <f>IF($H43=R$34,1000,SUMXMY2($A44:$F44,$A43:$F43))</f>
        <v>17</v>
      </c>
      <c r="S43" s="4">
        <f>IF($H43=S$34,1000,SUMXMY2($A45:$F45,$A43:$F43))</f>
        <v>6</v>
      </c>
      <c r="T43" s="4">
        <f>IF($H43=T$34,1000,SUMXMY2($A46:$F46,$A43:$F43))</f>
        <v>10</v>
      </c>
      <c r="U43" s="4">
        <f>IF($H43=U$34,1000,SUMXMY2($A47:$F47,$A43:$F43))</f>
        <v>26</v>
      </c>
      <c r="V43" s="4">
        <f>IF($H43=V$34,1000,SUMXMY2($A48:$F48,$A43:$F43))</f>
        <v>42</v>
      </c>
      <c r="W43" s="4">
        <f>IF($H43=W$34,1000,SUMXMY2($A49:$F49,$A43:$F43))</f>
        <v>68</v>
      </c>
      <c r="X43" s="4">
        <f>IF($H43=X$34,1000,SUMXMY2($A50:$F50,$A43:$F43))</f>
        <v>57</v>
      </c>
    </row>
    <row r="44" spans="1:25" x14ac:dyDescent="0.3">
      <c r="A44" s="4">
        <v>10</v>
      </c>
      <c r="B44" s="5">
        <v>2</v>
      </c>
      <c r="C44" s="5">
        <v>4</v>
      </c>
      <c r="D44" s="5">
        <v>2</v>
      </c>
      <c r="E44" s="5">
        <v>2</v>
      </c>
      <c r="F44">
        <f t="shared" si="0"/>
        <v>4</v>
      </c>
      <c r="H44" s="9">
        <v>10</v>
      </c>
      <c r="I44" s="4">
        <f>IF($H44=I$34,1000,SUMXMY2($A35:$F35,$A44:$F44))</f>
        <v>100</v>
      </c>
      <c r="J44" s="4">
        <f>IF($H44=J$34,1000,SUMXMY2($A44:$F44,$A36:$F36))</f>
        <v>78</v>
      </c>
      <c r="K44" s="4">
        <f>IF($H44=K$34,1000,SUMXMY2($A44:$F44,$A37:$F37))</f>
        <v>68</v>
      </c>
      <c r="L44" s="4">
        <f>IF($H44=L$34,1000,SUMXMY2($A44:$F44,$A38:$F38))</f>
        <v>56</v>
      </c>
      <c r="M44" s="4">
        <f>IF($H44=M$34,1000,SUMXMY2($A44:$F44,$A39:$F39))</f>
        <v>40</v>
      </c>
      <c r="N44" s="4">
        <f>IF($H44=N$34,1000,SUMXMY2($A44:$F44,$A40:$F40))</f>
        <v>31</v>
      </c>
      <c r="O44" s="4">
        <f>IF($H44=O$34,1000,SUMXMY2($A44:$F44,$A41:$F41))</f>
        <v>19</v>
      </c>
      <c r="P44" s="4">
        <f>IF($H44=P$34,1000,SUMXMY2($A44:$F44,$A42:$F42))</f>
        <v>17</v>
      </c>
      <c r="Q44" s="4">
        <f>IF($H44=Q$34,1000,SUMXMY2($A44:$F44,$A43:$F43))</f>
        <v>17</v>
      </c>
      <c r="R44" s="4">
        <f>IF($H44=R$34,1000,SUMXMY2($A44:$F44,$A44:$F44))</f>
        <v>1000</v>
      </c>
      <c r="S44" s="4">
        <f>IF($H44=S$34,1000,SUMXMY2($A45:$F45,$A44:$F44))</f>
        <v>17</v>
      </c>
      <c r="T44" s="4">
        <f>IF($H44=T$34,1000,SUMXMY2($A46:$F46,$A44:$F44))</f>
        <v>19</v>
      </c>
      <c r="U44" s="4">
        <f>IF($H44=U$34,1000,SUMXMY2($A47:$F47,$A44:$F44))</f>
        <v>13</v>
      </c>
      <c r="V44" s="4">
        <f>IF($H44=V$34,1000,SUMXMY2($A48:$F48,$A44:$F44))</f>
        <v>21</v>
      </c>
      <c r="W44" s="4">
        <f>IF($H44=W$34,1000,SUMXMY2($A49:$F49,$A44:$F44))</f>
        <v>43</v>
      </c>
      <c r="X44" s="4">
        <f>IF($H44=X$34,1000,SUMXMY2($A50:$F50,$A44:$F44))</f>
        <v>38</v>
      </c>
    </row>
    <row r="45" spans="1:25" x14ac:dyDescent="0.3">
      <c r="A45" s="4">
        <v>11</v>
      </c>
      <c r="B45" s="5">
        <v>1</v>
      </c>
      <c r="C45" s="5">
        <v>5</v>
      </c>
      <c r="D45" s="5">
        <v>5</v>
      </c>
      <c r="E45" s="5">
        <v>4</v>
      </c>
      <c r="F45">
        <f t="shared" si="0"/>
        <v>5</v>
      </c>
      <c r="H45" s="9">
        <v>11</v>
      </c>
      <c r="I45" s="4">
        <f>IF($H45=I$34,1000,SUMXMY2($A35:$F35,$A45:$F45))</f>
        <v>153</v>
      </c>
      <c r="J45" s="4">
        <f>IF($H45=J$34,1000,SUMXMY2($A45:$F45,$A36:$F36))</f>
        <v>105</v>
      </c>
      <c r="K45" s="4">
        <f>IF($H45=K$34,1000,SUMXMY2($A45:$F45,$A37:$F37))</f>
        <v>115</v>
      </c>
      <c r="L45" s="4">
        <f>IF($H45=L$34,1000,SUMXMY2($A45:$F45,$A38:$F38))</f>
        <v>99</v>
      </c>
      <c r="M45" s="4">
        <f>IF($H45=M$34,1000,SUMXMY2($A45:$F45,$A39:$F39))</f>
        <v>87</v>
      </c>
      <c r="N45" s="4">
        <f>IF($H45=N$34,1000,SUMXMY2($A45:$F45,$A40:$F40))</f>
        <v>26</v>
      </c>
      <c r="O45" s="4">
        <f>IF($H45=O$34,1000,SUMXMY2($A45:$F45,$A41:$F41))</f>
        <v>32</v>
      </c>
      <c r="P45" s="4">
        <f>IF($H45=P$34,1000,SUMXMY2($A45:$F45,$A42:$F42))</f>
        <v>36</v>
      </c>
      <c r="Q45" s="4">
        <f>IF($H45=Q$34,1000,SUMXMY2($A45:$F45,$A43:$F43))</f>
        <v>6</v>
      </c>
      <c r="R45" s="4">
        <f>IF($H45=R$34,1000,SUMXMY2($A45:$F45,$A44:$F44))</f>
        <v>17</v>
      </c>
      <c r="S45" s="4">
        <f>IF($H45=S$34,1000,SUMXMY2($A45:$F45,$A45:$F45))</f>
        <v>1000</v>
      </c>
      <c r="T45" s="4">
        <f>IF($H45=T$34,1000,SUMXMY2($A46:$F46,$A45:$F45))</f>
        <v>4</v>
      </c>
      <c r="U45" s="4">
        <f>IF($H45=U$34,1000,SUMXMY2($A47:$F47,$A45:$F45))</f>
        <v>14</v>
      </c>
      <c r="V45" s="4">
        <f>IF($H45=V$34,1000,SUMXMY2($A48:$F48,$A45:$F45))</f>
        <v>26</v>
      </c>
      <c r="W45" s="4">
        <f>IF($H45=W$34,1000,SUMXMY2($A49:$F49,$A45:$F45))</f>
        <v>42</v>
      </c>
      <c r="X45" s="4">
        <f>IF($H45=X$34,1000,SUMXMY2($A50:$F50,$A45:$F45))</f>
        <v>33</v>
      </c>
    </row>
    <row r="46" spans="1:25" x14ac:dyDescent="0.3">
      <c r="A46" s="4">
        <v>12</v>
      </c>
      <c r="B46" s="5">
        <v>2</v>
      </c>
      <c r="C46" s="5">
        <v>5</v>
      </c>
      <c r="D46" s="5">
        <v>4</v>
      </c>
      <c r="E46" s="5">
        <v>5</v>
      </c>
      <c r="F46">
        <f t="shared" si="0"/>
        <v>5</v>
      </c>
      <c r="H46" s="9">
        <v>12</v>
      </c>
      <c r="I46" s="4">
        <f>IF($H46=I$34,1000,SUMXMY2($A35:$F35,$A46:$F46))</f>
        <v>165</v>
      </c>
      <c r="J46" s="4">
        <f>IF($H46=J$34,1000,SUMXMY2($A46:$F46,$A36:$F36))</f>
        <v>121</v>
      </c>
      <c r="K46" s="4">
        <f>IF($H46=K$34,1000,SUMXMY2($A46:$F46,$A37:$F37))</f>
        <v>127</v>
      </c>
      <c r="L46" s="4">
        <f>IF($H46=L$34,1000,SUMXMY2($A46:$F46,$A38:$F38))</f>
        <v>109</v>
      </c>
      <c r="M46" s="4">
        <f>IF($H46=M$34,1000,SUMXMY2($A46:$F46,$A39:$F39))</f>
        <v>95</v>
      </c>
      <c r="N46" s="4">
        <f>IF($H46=N$34,1000,SUMXMY2($A46:$F46,$A40:$F40))</f>
        <v>40</v>
      </c>
      <c r="O46" s="4">
        <f>IF($H46=O$34,1000,SUMXMY2($A46:$F46,$A41:$F41))</f>
        <v>38</v>
      </c>
      <c r="P46" s="4">
        <f>IF($H46=P$34,1000,SUMXMY2($A46:$F46,$A42:$F42))</f>
        <v>42</v>
      </c>
      <c r="Q46" s="4">
        <f>IF($H46=Q$34,1000,SUMXMY2($A46:$F46,$A43:$F43))</f>
        <v>10</v>
      </c>
      <c r="R46" s="4">
        <f>IF($H46=R$34,1000,SUMXMY2($A46:$F46,$A44:$F44))</f>
        <v>19</v>
      </c>
      <c r="S46" s="4">
        <f>IF($H46=S$34,1000,SUMXMY2($A46:$F46,$A45:$F45))</f>
        <v>4</v>
      </c>
      <c r="T46" s="4">
        <f>IF($H46=T$34,1000,SUMXMY2($A46:$F46,$A46:$F46))</f>
        <v>1000</v>
      </c>
      <c r="U46" s="4">
        <f>IF($H46=U$34,1000,SUMXMY2($A47:$F47,$A46:$F46))</f>
        <v>8</v>
      </c>
      <c r="V46" s="4">
        <f>IF($H46=V$34,1000,SUMXMY2($A48:$F48,$A46:$F46))</f>
        <v>18</v>
      </c>
      <c r="W46" s="4">
        <f>IF($H46=W$34,1000,SUMXMY2($A49:$F49,$A46:$F46))</f>
        <v>38</v>
      </c>
      <c r="X46" s="4">
        <f>IF($H46=X$34,1000,SUMXMY2($A50:$F50,$A46:$F46))</f>
        <v>23</v>
      </c>
    </row>
    <row r="47" spans="1:25" x14ac:dyDescent="0.3">
      <c r="A47" s="4">
        <v>13</v>
      </c>
      <c r="B47" s="5">
        <v>3</v>
      </c>
      <c r="C47" s="5">
        <v>4</v>
      </c>
      <c r="D47" s="5">
        <v>3</v>
      </c>
      <c r="E47" s="5">
        <v>3</v>
      </c>
      <c r="F47">
        <f t="shared" si="0"/>
        <v>5</v>
      </c>
      <c r="H47" s="9">
        <v>13</v>
      </c>
      <c r="I47" s="4">
        <f>IF($H47=I$34,1000,SUMXMY2($A35:$F35,$A47:$F47))</f>
        <v>169</v>
      </c>
      <c r="J47" s="4">
        <f>IF($H47=J$34,1000,SUMXMY2($A47:$F47,$A36:$F36))</f>
        <v>133</v>
      </c>
      <c r="K47" s="4">
        <f>IF($H47=K$34,1000,SUMXMY2($A47:$F47,$A37:$F37))</f>
        <v>125</v>
      </c>
      <c r="L47" s="4">
        <f>IF($H47=L$34,1000,SUMXMY2($A47:$F47,$A38:$F38))</f>
        <v>107</v>
      </c>
      <c r="M47" s="4">
        <f>IF($H47=M$34,1000,SUMXMY2($A47:$F47,$A39:$F39))</f>
        <v>89</v>
      </c>
      <c r="N47" s="4">
        <f>IF($H47=N$34,1000,SUMXMY2($A47:$F47,$A40:$F40))</f>
        <v>60</v>
      </c>
      <c r="O47" s="4">
        <f>IF($H47=O$34,1000,SUMXMY2($A47:$F47,$A41:$F41))</f>
        <v>42</v>
      </c>
      <c r="P47" s="4">
        <f>IF($H47=P$34,1000,SUMXMY2($A47:$F47,$A42:$F42))</f>
        <v>38</v>
      </c>
      <c r="Q47" s="4">
        <f>IF($H47=Q$34,1000,SUMXMY2($A47:$F47,$A43:$F43))</f>
        <v>26</v>
      </c>
      <c r="R47" s="4">
        <f>IF($H47=R$34,1000,SUMXMY2($A47:$F47,$A44:$F44))</f>
        <v>13</v>
      </c>
      <c r="S47" s="4">
        <f>IF($H47=S$34,1000,SUMXMY2($A47:$F47,$A45:$F45))</f>
        <v>14</v>
      </c>
      <c r="T47" s="4">
        <f>IF($H47=T$34,1000,SUMXMY2($A47:$F47,$A46:$F46))</f>
        <v>8</v>
      </c>
      <c r="U47" s="4">
        <f>IF($H47=U$34,1000,SUMXMY2($A47:$F47,$A47:$F47))</f>
        <v>1000</v>
      </c>
      <c r="V47" s="4">
        <f>IF($H47=V$34,1000,SUMXMY2($A48:$F48,$A47:$F47))</f>
        <v>6</v>
      </c>
      <c r="W47" s="4">
        <f>IF($H47=W$34,1000,SUMXMY2($A49:$F49,$A47:$F47))</f>
        <v>22</v>
      </c>
      <c r="X47" s="4">
        <f>IF($H47=X$34,1000,SUMXMY2($A50:$F50,$A47:$F47))</f>
        <v>11</v>
      </c>
    </row>
    <row r="48" spans="1:25" x14ac:dyDescent="0.3">
      <c r="A48" s="4">
        <v>14</v>
      </c>
      <c r="B48" s="5">
        <v>3</v>
      </c>
      <c r="C48" s="5">
        <v>3</v>
      </c>
      <c r="D48" s="5">
        <v>3</v>
      </c>
      <c r="E48" s="5">
        <v>3</v>
      </c>
      <c r="F48">
        <f t="shared" si="0"/>
        <v>3</v>
      </c>
      <c r="H48" s="9">
        <v>14</v>
      </c>
      <c r="I48" s="4">
        <f>IF($H48=I$34,1000,SUMXMY2($A35:$F35,$A48:$F48))</f>
        <v>183</v>
      </c>
      <c r="J48" s="4">
        <f>IF($H48=J$34,1000,SUMXMY2($A48:$F48,$A36:$F36))</f>
        <v>147</v>
      </c>
      <c r="K48" s="4">
        <f>IF($H48=K$34,1000,SUMXMY2($A48:$F48,$A37:$F37))</f>
        <v>135</v>
      </c>
      <c r="L48" s="4">
        <f>IF($H48=L$34,1000,SUMXMY2($A48:$F48,$A38:$F38))</f>
        <v>117</v>
      </c>
      <c r="M48" s="4">
        <f>IF($H48=M$34,1000,SUMXMY2($A48:$F48,$A39:$F39))</f>
        <v>95</v>
      </c>
      <c r="N48" s="4">
        <f>IF($H48=N$34,1000,SUMXMY2($A48:$F48,$A40:$F40))</f>
        <v>78</v>
      </c>
      <c r="O48" s="4">
        <f>IF($H48=O$34,1000,SUMXMY2($A48:$F48,$A41:$F41))</f>
        <v>52</v>
      </c>
      <c r="P48" s="4">
        <f>IF($H48=P$34,1000,SUMXMY2($A48:$F48,$A42:$F42))</f>
        <v>40</v>
      </c>
      <c r="Q48" s="4">
        <f>IF($H48=Q$34,1000,SUMXMY2($A48:$F48,$A43:$F43))</f>
        <v>42</v>
      </c>
      <c r="R48" s="4">
        <f>IF($H48=R$34,1000,SUMXMY2($A48:$F48,$A44:$F44))</f>
        <v>21</v>
      </c>
      <c r="S48" s="4">
        <f>IF($H48=S$34,1000,SUMXMY2($A48:$F48,$A45:$F45))</f>
        <v>26</v>
      </c>
      <c r="T48" s="4">
        <f>IF($H48=T$34,1000,SUMXMY2($A48:$F48,$A46:$F46))</f>
        <v>18</v>
      </c>
      <c r="U48" s="4">
        <f>IF($H48=U$34,1000,SUMXMY2($A48:$F48,$A47:$F47))</f>
        <v>6</v>
      </c>
      <c r="V48" s="4">
        <f>IF($H48=V$34,1000,SUMXMY2($A48:$F48,$A48:$F48))</f>
        <v>1000</v>
      </c>
      <c r="W48" s="4">
        <f>IF($H48=W$34,1000,SUMXMY2($A49:$F49,$A48:$F48))</f>
        <v>8</v>
      </c>
      <c r="X48" s="4">
        <f>IF($H48=X$34,1000,SUMXMY2($A50:$F50,$A48:$F48))</f>
        <v>7</v>
      </c>
    </row>
    <row r="49" spans="1:24" x14ac:dyDescent="0.3">
      <c r="A49" s="4">
        <v>15</v>
      </c>
      <c r="B49" s="5">
        <v>3</v>
      </c>
      <c r="C49" s="5">
        <v>2</v>
      </c>
      <c r="D49" s="5">
        <v>5</v>
      </c>
      <c r="E49" s="5">
        <v>2</v>
      </c>
      <c r="F49">
        <f t="shared" si="0"/>
        <v>2</v>
      </c>
      <c r="H49" s="9">
        <v>15</v>
      </c>
      <c r="I49" s="4">
        <f>IF($H49=I$34,1000,SUMXMY2($A35:$F35,$A49:$F49))</f>
        <v>221</v>
      </c>
      <c r="J49" s="4">
        <f>IF($H49=J$34,1000,SUMXMY2($A49:$F49,$A36:$F36))</f>
        <v>173</v>
      </c>
      <c r="K49" s="4">
        <f>IF($H49=K$34,1000,SUMXMY2($A49:$F49,$A37:$F37))</f>
        <v>163</v>
      </c>
      <c r="L49" s="4">
        <f>IF($H49=L$34,1000,SUMXMY2($A49:$F49,$A38:$F38))</f>
        <v>145</v>
      </c>
      <c r="M49" s="4">
        <f>IF($H49=M$34,1000,SUMXMY2($A49:$F49,$A39:$F39))</f>
        <v>123</v>
      </c>
      <c r="N49" s="4">
        <f>IF($H49=N$34,1000,SUMXMY2($A49:$F49,$A40:$F40))</f>
        <v>102</v>
      </c>
      <c r="O49" s="4">
        <f>IF($H49=O$34,1000,SUMXMY2($A49:$F49,$A41:$F41))</f>
        <v>72</v>
      </c>
      <c r="P49" s="4">
        <f>IF($H49=P$34,1000,SUMXMY2($A49:$F49,$A42:$F42))</f>
        <v>52</v>
      </c>
      <c r="Q49" s="4">
        <f>IF($H49=Q$34,1000,SUMXMY2($A49:$F49,$A43:$F43))</f>
        <v>68</v>
      </c>
      <c r="R49" s="4">
        <f>IF($H49=R$34,1000,SUMXMY2($A49:$F49,$A44:$F44))</f>
        <v>43</v>
      </c>
      <c r="S49" s="4">
        <f>IF($H49=S$34,1000,SUMXMY2($A49:$F49,$A45:$F45))</f>
        <v>42</v>
      </c>
      <c r="T49" s="4">
        <f>IF($H49=T$34,1000,SUMXMY2($A49:$F49,$A46:$F46))</f>
        <v>38</v>
      </c>
      <c r="U49" s="4">
        <f>IF($H49=U$34,1000,SUMXMY2($A49:$F49,$A47:$F47))</f>
        <v>22</v>
      </c>
      <c r="V49" s="4">
        <f>IF($H49=V$34,1000,SUMXMY2($A49:$F49,$A48:$F48))</f>
        <v>8</v>
      </c>
      <c r="W49" s="4">
        <f>IF($H49=W$34,1000,SUMXMY2($A49:$F49,$A49:$F49))</f>
        <v>1000</v>
      </c>
      <c r="X49" s="4">
        <f>IF($H49=X$34,1000,SUMXMY2($A50:$F50,$A49:$F49))</f>
        <v>15</v>
      </c>
    </row>
    <row r="50" spans="1:24" x14ac:dyDescent="0.3">
      <c r="A50" s="4">
        <v>16</v>
      </c>
      <c r="B50" s="5">
        <v>2</v>
      </c>
      <c r="C50" s="5">
        <v>4</v>
      </c>
      <c r="D50" s="5">
        <v>3</v>
      </c>
      <c r="E50" s="5">
        <v>3</v>
      </c>
      <c r="F50">
        <f t="shared" si="0"/>
        <v>4</v>
      </c>
      <c r="H50" s="9">
        <v>16</v>
      </c>
      <c r="I50" s="4">
        <f>IF($H50=I$34,1000,SUMXMY2($A35:$F35,$A50:$F50))</f>
        <v>248</v>
      </c>
      <c r="J50" s="4">
        <f>IF($H50=J$34,1000,SUMXMY2($A50:$F50,$A36:$F36))</f>
        <v>206</v>
      </c>
      <c r="K50" s="4">
        <f>IF($H50=K$34,1000,SUMXMY2($A50:$F50,$A37:$F37))</f>
        <v>192</v>
      </c>
      <c r="L50" s="4">
        <f>IF($H50=L$34,1000,SUMXMY2($A50:$F50,$A38:$F38))</f>
        <v>168</v>
      </c>
      <c r="M50" s="4">
        <f>IF($H50=M$34,1000,SUMXMY2($A50:$F50,$A39:$F39))</f>
        <v>142</v>
      </c>
      <c r="N50" s="4">
        <f>IF($H50=N$34,1000,SUMXMY2($A50:$F50,$A40:$F40))</f>
        <v>107</v>
      </c>
      <c r="O50" s="4">
        <f>IF($H50=O$34,1000,SUMXMY2($A50:$F50,$A41:$F41))</f>
        <v>87</v>
      </c>
      <c r="P50" s="4">
        <f>IF($H50=P$34,1000,SUMXMY2($A50:$F50,$A42:$F42))</f>
        <v>75</v>
      </c>
      <c r="Q50" s="4">
        <f>IF($H50=Q$34,1000,SUMXMY2($A50:$F50,$A43:$F43))</f>
        <v>57</v>
      </c>
      <c r="R50" s="4">
        <f>IF($H50=R$34,1000,SUMXMY2($A50:$F50,$A44:$F44))</f>
        <v>38</v>
      </c>
      <c r="S50" s="4">
        <f>IF($H50=S$34,1000,SUMXMY2($A50:$F50,$A45:$F45))</f>
        <v>33</v>
      </c>
      <c r="T50" s="4">
        <f>IF($H50=T$34,1000,SUMXMY2($A50:$F50,$A46:$F46))</f>
        <v>23</v>
      </c>
      <c r="U50" s="4">
        <f>IF($H50=U$34,1000,SUMXMY2($A50:$F50,$A47:$F47))</f>
        <v>11</v>
      </c>
      <c r="V50" s="4">
        <f>IF($H50=V$34,1000,SUMXMY2($A50:$F50,$A48:$F48))</f>
        <v>7</v>
      </c>
      <c r="W50" s="4">
        <f>IF($H50=W$34,1000,SUMXMY2($A50:$F50,$A49:$F49))</f>
        <v>15</v>
      </c>
      <c r="X50" s="4">
        <f>IF($H50=X$34,1000,SUMXMY2($A50:$F50,$A50:$F50))</f>
        <v>1000</v>
      </c>
    </row>
    <row r="53" spans="1:24" x14ac:dyDescent="0.3">
      <c r="I53" s="9">
        <v>1</v>
      </c>
      <c r="J53" s="9">
        <v>2</v>
      </c>
      <c r="K53" s="9">
        <v>3</v>
      </c>
      <c r="L53" s="9">
        <v>4</v>
      </c>
      <c r="M53" s="9">
        <v>5</v>
      </c>
      <c r="N53" s="9">
        <v>6</v>
      </c>
      <c r="O53" s="9">
        <v>7</v>
      </c>
      <c r="P53" s="9">
        <v>8</v>
      </c>
      <c r="Q53" s="9">
        <v>9</v>
      </c>
      <c r="R53" s="9">
        <v>10</v>
      </c>
      <c r="S53" s="9">
        <v>11</v>
      </c>
      <c r="T53" s="9">
        <v>12</v>
      </c>
      <c r="U53" s="9">
        <v>13</v>
      </c>
      <c r="V53" s="9">
        <v>14</v>
      </c>
      <c r="W53" s="9">
        <v>15</v>
      </c>
      <c r="X53" s="9">
        <v>16</v>
      </c>
    </row>
    <row r="54" spans="1:24" x14ac:dyDescent="0.3">
      <c r="H54" s="9">
        <v>1</v>
      </c>
      <c r="I54" s="4">
        <v>241</v>
      </c>
      <c r="J54" s="4">
        <v>33</v>
      </c>
      <c r="K54" s="4">
        <v>9</v>
      </c>
      <c r="L54" s="4">
        <v>23</v>
      </c>
      <c r="M54" s="4">
        <v>37</v>
      </c>
      <c r="N54" s="4">
        <v>117</v>
      </c>
      <c r="O54" s="4">
        <v>92</v>
      </c>
      <c r="P54" s="4">
        <v>88</v>
      </c>
      <c r="Q54" s="4">
        <v>98</v>
      </c>
      <c r="R54" s="4">
        <v>78</v>
      </c>
      <c r="S54" s="4">
        <v>80</v>
      </c>
      <c r="T54" s="4">
        <v>67</v>
      </c>
      <c r="U54" s="4">
        <v>54</v>
      </c>
      <c r="V54" s="4">
        <v>41</v>
      </c>
      <c r="W54" s="4">
        <f t="shared" ref="W54:X69" si="1">RANK(W35,W35:AL50,1)</f>
        <v>29</v>
      </c>
      <c r="X54" s="4">
        <f t="shared" si="1"/>
        <v>15</v>
      </c>
    </row>
    <row r="55" spans="1:24" x14ac:dyDescent="0.3">
      <c r="H55" s="9">
        <v>2</v>
      </c>
      <c r="I55" s="4">
        <v>33</v>
      </c>
      <c r="J55" s="4">
        <v>211</v>
      </c>
      <c r="K55" s="4">
        <v>25</v>
      </c>
      <c r="L55" s="4">
        <v>39</v>
      </c>
      <c r="M55" s="4">
        <v>56</v>
      </c>
      <c r="N55" s="4">
        <v>72</v>
      </c>
      <c r="O55" s="4">
        <v>56</v>
      </c>
      <c r="P55" s="4">
        <v>60</v>
      </c>
      <c r="Q55" s="4">
        <v>80</v>
      </c>
      <c r="R55" s="4">
        <v>70</v>
      </c>
      <c r="S55" s="4">
        <v>65</v>
      </c>
      <c r="T55" s="4">
        <v>57</v>
      </c>
      <c r="U55" s="4">
        <v>47</v>
      </c>
      <c r="V55" s="4">
        <v>37</v>
      </c>
      <c r="W55" s="4">
        <f t="shared" si="1"/>
        <v>26</v>
      </c>
      <c r="X55" s="4">
        <f t="shared" si="1"/>
        <v>14</v>
      </c>
    </row>
    <row r="56" spans="1:24" x14ac:dyDescent="0.3">
      <c r="H56" s="9">
        <v>3</v>
      </c>
      <c r="I56" s="4">
        <v>9</v>
      </c>
      <c r="J56" s="4">
        <v>25</v>
      </c>
      <c r="K56" s="4">
        <v>183</v>
      </c>
      <c r="L56" s="4">
        <v>1</v>
      </c>
      <c r="M56" s="4">
        <v>6</v>
      </c>
      <c r="N56" s="4">
        <v>102</v>
      </c>
      <c r="O56" s="4">
        <v>57</v>
      </c>
      <c r="P56" s="4">
        <v>55</v>
      </c>
      <c r="Q56" s="4">
        <v>85</v>
      </c>
      <c r="R56" s="4">
        <v>66</v>
      </c>
      <c r="S56" s="4">
        <v>68</v>
      </c>
      <c r="T56" s="4">
        <v>59</v>
      </c>
      <c r="U56" s="4">
        <v>46</v>
      </c>
      <c r="V56" s="4">
        <v>34</v>
      </c>
      <c r="W56" s="4">
        <f t="shared" si="1"/>
        <v>24</v>
      </c>
      <c r="X56" s="4">
        <f t="shared" si="1"/>
        <v>13</v>
      </c>
    </row>
    <row r="57" spans="1:24" x14ac:dyDescent="0.3">
      <c r="H57" s="9">
        <v>4</v>
      </c>
      <c r="I57" s="4">
        <v>34</v>
      </c>
      <c r="J57" s="4">
        <v>54</v>
      </c>
      <c r="K57" s="4">
        <v>1</v>
      </c>
      <c r="L57" s="4">
        <v>170</v>
      </c>
      <c r="M57" s="4">
        <v>1</v>
      </c>
      <c r="N57" s="4">
        <v>106</v>
      </c>
      <c r="O57" s="4">
        <v>57</v>
      </c>
      <c r="P57" s="4">
        <v>59</v>
      </c>
      <c r="Q57" s="4">
        <v>88</v>
      </c>
      <c r="R57" s="4">
        <v>70</v>
      </c>
      <c r="S57" s="4">
        <v>69</v>
      </c>
      <c r="T57" s="4">
        <v>60</v>
      </c>
      <c r="U57" s="4">
        <v>46</v>
      </c>
      <c r="V57" s="4">
        <v>35</v>
      </c>
      <c r="W57" s="4">
        <f t="shared" si="1"/>
        <v>25</v>
      </c>
      <c r="X57" s="4">
        <f t="shared" si="1"/>
        <v>13</v>
      </c>
    </row>
    <row r="58" spans="1:24" x14ac:dyDescent="0.3">
      <c r="H58" s="9">
        <v>5</v>
      </c>
      <c r="I58" s="4">
        <v>55</v>
      </c>
      <c r="J58" s="4">
        <v>74</v>
      </c>
      <c r="K58" s="4">
        <v>9</v>
      </c>
      <c r="L58" s="4">
        <v>1</v>
      </c>
      <c r="M58" s="4">
        <v>157</v>
      </c>
      <c r="N58" s="4">
        <v>106</v>
      </c>
      <c r="O58" s="4">
        <v>50</v>
      </c>
      <c r="P58" s="4">
        <v>46</v>
      </c>
      <c r="Q58" s="4">
        <v>86</v>
      </c>
      <c r="R58" s="4">
        <v>60</v>
      </c>
      <c r="S58" s="4">
        <v>70</v>
      </c>
      <c r="T58" s="4">
        <v>60</v>
      </c>
      <c r="U58" s="4">
        <v>47</v>
      </c>
      <c r="V58" s="4">
        <v>35</v>
      </c>
      <c r="W58" s="4">
        <f t="shared" si="1"/>
        <v>25</v>
      </c>
      <c r="X58" s="4">
        <f t="shared" si="1"/>
        <v>13</v>
      </c>
    </row>
    <row r="59" spans="1:24" x14ac:dyDescent="0.3">
      <c r="H59" s="9">
        <v>6</v>
      </c>
      <c r="I59" s="4">
        <v>155</v>
      </c>
      <c r="J59" s="4">
        <v>95</v>
      </c>
      <c r="K59" s="4">
        <v>128</v>
      </c>
      <c r="L59" s="4">
        <v>117</v>
      </c>
      <c r="M59" s="4">
        <v>111</v>
      </c>
      <c r="N59" s="4">
        <v>144</v>
      </c>
      <c r="O59" s="4">
        <v>29</v>
      </c>
      <c r="P59" s="4">
        <v>54</v>
      </c>
      <c r="Q59" s="4">
        <v>20</v>
      </c>
      <c r="R59" s="4">
        <v>51</v>
      </c>
      <c r="S59" s="4">
        <v>37</v>
      </c>
      <c r="T59" s="4">
        <v>43</v>
      </c>
      <c r="U59" s="4">
        <v>45</v>
      </c>
      <c r="V59" s="4">
        <v>36</v>
      </c>
      <c r="W59" s="4">
        <f t="shared" si="1"/>
        <v>25</v>
      </c>
      <c r="X59" s="4">
        <f t="shared" si="1"/>
        <v>13</v>
      </c>
    </row>
    <row r="60" spans="1:24" x14ac:dyDescent="0.3">
      <c r="H60" s="9">
        <v>7</v>
      </c>
      <c r="I60" s="4">
        <v>130</v>
      </c>
      <c r="J60" s="4">
        <v>82</v>
      </c>
      <c r="K60" s="4">
        <v>81</v>
      </c>
      <c r="L60" s="4">
        <v>65</v>
      </c>
      <c r="M60" s="4">
        <v>55</v>
      </c>
      <c r="N60" s="4">
        <v>31</v>
      </c>
      <c r="O60" s="4">
        <v>131</v>
      </c>
      <c r="P60" s="4">
        <v>1</v>
      </c>
      <c r="Q60" s="4">
        <v>46</v>
      </c>
      <c r="R60" s="4">
        <v>37</v>
      </c>
      <c r="S60" s="4">
        <v>44</v>
      </c>
      <c r="T60" s="4">
        <v>41</v>
      </c>
      <c r="U60" s="4">
        <v>39</v>
      </c>
      <c r="V60" s="4">
        <v>33</v>
      </c>
      <c r="W60" s="4">
        <f t="shared" si="1"/>
        <v>24</v>
      </c>
      <c r="X60" s="4">
        <f t="shared" si="1"/>
        <v>13</v>
      </c>
    </row>
    <row r="61" spans="1:24" x14ac:dyDescent="0.3">
      <c r="H61" s="9">
        <v>8</v>
      </c>
      <c r="I61" s="4">
        <v>145</v>
      </c>
      <c r="J61" s="4">
        <v>94</v>
      </c>
      <c r="K61" s="4">
        <v>84</v>
      </c>
      <c r="L61" s="4">
        <v>74</v>
      </c>
      <c r="M61" s="4">
        <v>54</v>
      </c>
      <c r="N61" s="4">
        <v>60</v>
      </c>
      <c r="O61" s="4">
        <v>1</v>
      </c>
      <c r="P61" s="4">
        <v>118</v>
      </c>
      <c r="Q61" s="4">
        <v>58</v>
      </c>
      <c r="R61" s="4">
        <v>32</v>
      </c>
      <c r="S61" s="4">
        <v>50</v>
      </c>
      <c r="T61" s="4">
        <v>50</v>
      </c>
      <c r="U61" s="4">
        <v>37</v>
      </c>
      <c r="V61" s="4">
        <v>31</v>
      </c>
      <c r="W61" s="4">
        <f t="shared" si="1"/>
        <v>23</v>
      </c>
      <c r="X61" s="4">
        <f t="shared" si="1"/>
        <v>13</v>
      </c>
    </row>
    <row r="62" spans="1:24" x14ac:dyDescent="0.3">
      <c r="H62" s="9">
        <v>9</v>
      </c>
      <c r="I62" s="4">
        <v>188</v>
      </c>
      <c r="J62" s="4">
        <v>153</v>
      </c>
      <c r="K62" s="4">
        <v>160</v>
      </c>
      <c r="L62" s="4">
        <v>143</v>
      </c>
      <c r="M62" s="4">
        <v>125</v>
      </c>
      <c r="N62" s="4">
        <v>23</v>
      </c>
      <c r="O62" s="4">
        <v>50</v>
      </c>
      <c r="P62" s="4">
        <v>61</v>
      </c>
      <c r="Q62" s="4">
        <v>105</v>
      </c>
      <c r="R62" s="4">
        <v>33</v>
      </c>
      <c r="S62" s="4">
        <v>3</v>
      </c>
      <c r="T62" s="4">
        <v>10</v>
      </c>
      <c r="U62" s="4">
        <v>31</v>
      </c>
      <c r="V62" s="4">
        <v>35</v>
      </c>
      <c r="W62" s="4">
        <f t="shared" si="1"/>
        <v>26</v>
      </c>
      <c r="X62" s="4">
        <f t="shared" si="1"/>
        <v>13</v>
      </c>
    </row>
    <row r="63" spans="1:24" x14ac:dyDescent="0.3">
      <c r="H63" s="9">
        <v>10</v>
      </c>
      <c r="I63" s="4">
        <v>176</v>
      </c>
      <c r="J63" s="4">
        <v>153</v>
      </c>
      <c r="K63" s="4">
        <v>138</v>
      </c>
      <c r="L63" s="4">
        <v>116</v>
      </c>
      <c r="M63" s="4">
        <v>86</v>
      </c>
      <c r="N63" s="4">
        <v>65</v>
      </c>
      <c r="O63" s="4">
        <v>43</v>
      </c>
      <c r="P63" s="4">
        <v>36</v>
      </c>
      <c r="Q63" s="4">
        <v>35</v>
      </c>
      <c r="R63" s="4">
        <v>92</v>
      </c>
      <c r="S63" s="4">
        <v>30</v>
      </c>
      <c r="T63" s="4">
        <v>29</v>
      </c>
      <c r="U63" s="4">
        <v>10</v>
      </c>
      <c r="V63" s="4">
        <v>19</v>
      </c>
      <c r="W63" s="4">
        <f t="shared" si="1"/>
        <v>26</v>
      </c>
      <c r="X63" s="4">
        <f t="shared" si="1"/>
        <v>13</v>
      </c>
    </row>
    <row r="64" spans="1:24" x14ac:dyDescent="0.3">
      <c r="H64" s="9">
        <v>11</v>
      </c>
      <c r="I64" s="4">
        <v>202</v>
      </c>
      <c r="J64" s="4">
        <v>173</v>
      </c>
      <c r="K64" s="4">
        <v>172</v>
      </c>
      <c r="L64" s="4">
        <v>157</v>
      </c>
      <c r="M64" s="4">
        <v>142</v>
      </c>
      <c r="N64" s="4">
        <v>54</v>
      </c>
      <c r="O64" s="4">
        <v>59</v>
      </c>
      <c r="P64" s="4">
        <v>63</v>
      </c>
      <c r="Q64" s="4">
        <v>3</v>
      </c>
      <c r="R64" s="4">
        <v>32</v>
      </c>
      <c r="S64" s="4">
        <v>79</v>
      </c>
      <c r="T64" s="4">
        <v>1</v>
      </c>
      <c r="U64" s="4">
        <v>16</v>
      </c>
      <c r="V64" s="4">
        <v>27</v>
      </c>
      <c r="W64" s="4">
        <f t="shared" si="1"/>
        <v>26</v>
      </c>
      <c r="X64" s="4">
        <f t="shared" si="1"/>
        <v>13</v>
      </c>
    </row>
    <row r="65" spans="3:24" x14ac:dyDescent="0.3">
      <c r="H65" s="9">
        <v>12</v>
      </c>
      <c r="I65" s="4">
        <v>207</v>
      </c>
      <c r="J65" s="4">
        <v>185</v>
      </c>
      <c r="K65" s="4">
        <v>179</v>
      </c>
      <c r="L65" s="4">
        <v>164</v>
      </c>
      <c r="M65" s="4">
        <v>148</v>
      </c>
      <c r="N65" s="4">
        <v>77</v>
      </c>
      <c r="O65" s="4">
        <v>69</v>
      </c>
      <c r="P65" s="4">
        <v>74</v>
      </c>
      <c r="Q65" s="4">
        <v>11</v>
      </c>
      <c r="R65" s="4">
        <v>33</v>
      </c>
      <c r="S65" s="4">
        <v>1</v>
      </c>
      <c r="T65" s="4">
        <v>66</v>
      </c>
      <c r="U65" s="4">
        <v>5</v>
      </c>
      <c r="V65" s="4">
        <v>20</v>
      </c>
      <c r="W65" s="4">
        <f t="shared" si="1"/>
        <v>26</v>
      </c>
      <c r="X65" s="4">
        <f t="shared" si="1"/>
        <v>13</v>
      </c>
    </row>
    <row r="66" spans="3:24" x14ac:dyDescent="0.3">
      <c r="H66" s="9">
        <v>13</v>
      </c>
      <c r="I66" s="4">
        <v>209</v>
      </c>
      <c r="J66" s="4">
        <v>189</v>
      </c>
      <c r="K66" s="4">
        <v>177</v>
      </c>
      <c r="L66" s="4">
        <v>162</v>
      </c>
      <c r="M66" s="4">
        <v>146</v>
      </c>
      <c r="N66" s="4">
        <v>111</v>
      </c>
      <c r="O66" s="4">
        <v>77</v>
      </c>
      <c r="P66" s="4">
        <v>67</v>
      </c>
      <c r="Q66" s="4">
        <v>45</v>
      </c>
      <c r="R66" s="4">
        <v>15</v>
      </c>
      <c r="S66" s="4">
        <v>22</v>
      </c>
      <c r="T66" s="4">
        <v>5</v>
      </c>
      <c r="U66" s="4">
        <v>53</v>
      </c>
      <c r="V66" s="4">
        <v>1</v>
      </c>
      <c r="W66" s="4">
        <f t="shared" si="1"/>
        <v>17</v>
      </c>
      <c r="X66" s="4">
        <f t="shared" si="1"/>
        <v>2</v>
      </c>
    </row>
    <row r="67" spans="3:24" x14ac:dyDescent="0.3">
      <c r="H67" s="9">
        <v>14</v>
      </c>
      <c r="I67" s="4">
        <v>213</v>
      </c>
      <c r="J67" s="4">
        <v>195</v>
      </c>
      <c r="K67" s="4">
        <v>181</v>
      </c>
      <c r="L67" s="4">
        <v>166</v>
      </c>
      <c r="M67" s="4">
        <v>149</v>
      </c>
      <c r="N67" s="4">
        <v>130</v>
      </c>
      <c r="O67" s="4">
        <v>95</v>
      </c>
      <c r="P67" s="4">
        <v>71</v>
      </c>
      <c r="Q67" s="4">
        <v>70</v>
      </c>
      <c r="R67" s="4">
        <v>31</v>
      </c>
      <c r="S67" s="4">
        <v>38</v>
      </c>
      <c r="T67" s="4">
        <v>26</v>
      </c>
      <c r="U67" s="4">
        <v>1</v>
      </c>
      <c r="V67" s="4">
        <v>40</v>
      </c>
      <c r="W67" s="4">
        <f t="shared" si="1"/>
        <v>2</v>
      </c>
      <c r="X67" s="4">
        <f t="shared" si="1"/>
        <v>1</v>
      </c>
    </row>
    <row r="68" spans="3:24" x14ac:dyDescent="0.3">
      <c r="H68" s="9">
        <v>15</v>
      </c>
      <c r="I68" s="4">
        <v>220</v>
      </c>
      <c r="J68" s="4">
        <v>203</v>
      </c>
      <c r="K68" s="4">
        <v>189</v>
      </c>
      <c r="L68" s="4">
        <v>176</v>
      </c>
      <c r="M68" s="4">
        <v>160</v>
      </c>
      <c r="N68" s="4">
        <v>143</v>
      </c>
      <c r="O68" s="4">
        <v>122</v>
      </c>
      <c r="P68" s="4">
        <v>88</v>
      </c>
      <c r="Q68" s="4">
        <v>95</v>
      </c>
      <c r="R68" s="4">
        <v>68</v>
      </c>
      <c r="S68" s="4">
        <v>61</v>
      </c>
      <c r="T68" s="4">
        <v>52</v>
      </c>
      <c r="U68" s="4">
        <v>24</v>
      </c>
      <c r="V68" s="4">
        <v>2</v>
      </c>
      <c r="W68" s="4">
        <f t="shared" si="1"/>
        <v>27</v>
      </c>
      <c r="X68" s="4">
        <f t="shared" si="1"/>
        <v>11</v>
      </c>
    </row>
    <row r="69" spans="3:24" x14ac:dyDescent="0.3">
      <c r="H69" s="9">
        <v>16</v>
      </c>
      <c r="I69" s="4">
        <v>223</v>
      </c>
      <c r="J69" s="4">
        <v>208</v>
      </c>
      <c r="K69" s="4">
        <v>195</v>
      </c>
      <c r="L69" s="4">
        <v>180</v>
      </c>
      <c r="M69" s="4">
        <v>163</v>
      </c>
      <c r="N69" s="4">
        <v>149</v>
      </c>
      <c r="O69" s="4">
        <v>131</v>
      </c>
      <c r="P69" s="4">
        <v>113</v>
      </c>
      <c r="Q69" s="4">
        <v>86</v>
      </c>
      <c r="R69" s="4">
        <v>65</v>
      </c>
      <c r="S69" s="4">
        <v>49</v>
      </c>
      <c r="T69" s="4">
        <v>28</v>
      </c>
      <c r="U69" s="4">
        <v>4</v>
      </c>
      <c r="V69" s="4">
        <v>1</v>
      </c>
      <c r="W69" s="4">
        <f t="shared" si="1"/>
        <v>12</v>
      </c>
      <c r="X69" s="4">
        <f t="shared" si="1"/>
        <v>14</v>
      </c>
    </row>
    <row r="70" spans="3:24" x14ac:dyDescent="0.3">
      <c r="H70" s="9"/>
      <c r="I70" s="4"/>
      <c r="J70" s="4"/>
      <c r="K70" s="4"/>
      <c r="L70" s="4"/>
      <c r="M70" s="4"/>
      <c r="N70" s="4"/>
      <c r="O70" s="4"/>
      <c r="P70" s="4"/>
      <c r="Q70" s="4"/>
      <c r="R70" s="4"/>
      <c r="S70" s="4"/>
      <c r="T70" s="4"/>
      <c r="U70" s="4"/>
      <c r="V70" s="4"/>
      <c r="W70" s="4"/>
      <c r="X70" s="4"/>
    </row>
    <row r="71" spans="3:24" ht="18" x14ac:dyDescent="0.35">
      <c r="H71" s="18" t="s">
        <v>46</v>
      </c>
      <c r="I71" s="19"/>
      <c r="J71" s="19"/>
      <c r="K71" s="19"/>
      <c r="L71" s="19"/>
      <c r="M71" s="19"/>
      <c r="N71" s="19"/>
      <c r="O71" s="19"/>
      <c r="P71" s="19"/>
      <c r="Q71" s="19"/>
      <c r="R71" s="21"/>
      <c r="S71" s="4"/>
      <c r="T71" s="4"/>
      <c r="U71" s="4"/>
      <c r="V71" s="4"/>
      <c r="W71" s="4"/>
      <c r="X71" s="4"/>
    </row>
    <row r="72" spans="3:24" ht="18" x14ac:dyDescent="0.35">
      <c r="H72" s="20" t="s">
        <v>34</v>
      </c>
      <c r="I72" s="19"/>
      <c r="J72" s="19"/>
      <c r="K72" s="19"/>
      <c r="L72" s="19"/>
      <c r="M72" s="19"/>
      <c r="N72" s="19"/>
      <c r="O72" s="19"/>
      <c r="P72" s="19"/>
      <c r="Q72" s="19"/>
      <c r="R72" s="21"/>
      <c r="S72" s="4"/>
      <c r="T72" s="4"/>
      <c r="U72" s="4"/>
      <c r="V72" s="4"/>
      <c r="W72" s="4"/>
      <c r="X72" s="4"/>
    </row>
    <row r="74" spans="3:24" x14ac:dyDescent="0.3">
      <c r="D74" s="1" t="s">
        <v>43</v>
      </c>
      <c r="E74" s="1" t="s">
        <v>44</v>
      </c>
      <c r="I74" s="9">
        <v>1</v>
      </c>
      <c r="J74" s="9">
        <v>2</v>
      </c>
      <c r="K74" s="9">
        <v>3</v>
      </c>
      <c r="L74" s="9">
        <v>4</v>
      </c>
      <c r="M74" s="9">
        <v>5</v>
      </c>
      <c r="N74" s="9">
        <v>6</v>
      </c>
      <c r="O74" s="9">
        <v>7</v>
      </c>
      <c r="P74" s="9">
        <v>8</v>
      </c>
      <c r="Q74" s="9">
        <v>9</v>
      </c>
      <c r="R74" s="9">
        <v>10</v>
      </c>
      <c r="S74" s="9">
        <v>11</v>
      </c>
      <c r="T74" s="9">
        <v>12</v>
      </c>
      <c r="U74" s="9">
        <v>13</v>
      </c>
      <c r="V74" s="9">
        <v>14</v>
      </c>
      <c r="W74" s="9">
        <v>15</v>
      </c>
      <c r="X74" s="9">
        <v>16</v>
      </c>
    </row>
    <row r="75" spans="3:24" x14ac:dyDescent="0.3">
      <c r="C75" s="9">
        <v>1</v>
      </c>
      <c r="D75" s="4">
        <v>2.7295804089553575</v>
      </c>
      <c r="E75">
        <v>2.9738373289610855</v>
      </c>
      <c r="H75" s="9">
        <v>1</v>
      </c>
      <c r="I75" s="4">
        <v>1000</v>
      </c>
      <c r="J75" s="4">
        <v>0.38674247484485114</v>
      </c>
      <c r="K75" s="4">
        <v>0.18852304581918797</v>
      </c>
      <c r="L75" s="4">
        <v>0.25488837097451184</v>
      </c>
      <c r="M75" s="4">
        <v>0.84939421266973081</v>
      </c>
      <c r="N75" s="4">
        <v>12.176372526807139</v>
      </c>
      <c r="O75" s="4">
        <v>8.0865198901628723</v>
      </c>
      <c r="P75" s="4">
        <v>9.6451465260312652</v>
      </c>
      <c r="Q75" s="4">
        <v>18.645088518883128</v>
      </c>
      <c r="R75" s="4">
        <v>19.739438394673844</v>
      </c>
      <c r="S75" s="4">
        <v>27.122956446114905</v>
      </c>
      <c r="T75" s="4">
        <v>37.64248373894813</v>
      </c>
      <c r="U75" s="4">
        <v>42.129649991446371</v>
      </c>
      <c r="V75" s="4">
        <v>54.059172063993799</v>
      </c>
      <c r="W75" s="4">
        <v>65.655137795900814</v>
      </c>
      <c r="X75" s="4">
        <v>65.751505904668093</v>
      </c>
    </row>
    <row r="76" spans="3:24" x14ac:dyDescent="0.3">
      <c r="C76" s="9">
        <v>2</v>
      </c>
      <c r="D76" s="4">
        <v>2.1935915337141418</v>
      </c>
      <c r="E76">
        <v>2.6584670696427604</v>
      </c>
      <c r="H76" s="9">
        <v>2</v>
      </c>
      <c r="I76" s="4">
        <v>0.38674247484485114</v>
      </c>
      <c r="J76" s="4">
        <v>1000</v>
      </c>
      <c r="K76" s="4">
        <v>9.7031664855137451E-2</v>
      </c>
      <c r="L76" s="4">
        <v>0.34456020654347502</v>
      </c>
      <c r="M76" s="4">
        <v>0.4296587849273375</v>
      </c>
      <c r="N76" s="4">
        <v>9.0734817950925812</v>
      </c>
      <c r="O76" s="4">
        <v>5.6663107391519603</v>
      </c>
      <c r="P76" s="4">
        <v>6.5280968786742672</v>
      </c>
      <c r="Q76" s="4">
        <v>13.771005648618701</v>
      </c>
      <c r="R76" s="4">
        <v>14.881106552569896</v>
      </c>
      <c r="S76" s="4">
        <v>21.092775629262469</v>
      </c>
      <c r="T76" s="4">
        <v>31.242762586541915</v>
      </c>
      <c r="U76" s="4">
        <v>35.518880975451225</v>
      </c>
      <c r="V76" s="4">
        <v>45.453078781546424</v>
      </c>
      <c r="W76" s="4">
        <v>56.323150603344054</v>
      </c>
      <c r="X76" s="4">
        <v>56.420559935272237</v>
      </c>
    </row>
    <row r="77" spans="3:24" x14ac:dyDescent="0.3">
      <c r="C77" s="9">
        <v>3</v>
      </c>
      <c r="D77" s="4">
        <v>2.5004698860997112</v>
      </c>
      <c r="E77">
        <v>2.6050129613604613</v>
      </c>
      <c r="H77" s="9">
        <v>3</v>
      </c>
      <c r="I77" s="4">
        <v>0.18852304581918797</v>
      </c>
      <c r="J77" s="4">
        <v>9.7031664855137451E-2</v>
      </c>
      <c r="K77" s="4">
        <v>1000</v>
      </c>
      <c r="L77" s="4">
        <v>8.0312517774739606E-2</v>
      </c>
      <c r="M77" s="4">
        <v>0.27508591553096168</v>
      </c>
      <c r="N77" s="4">
        <v>9.3703850099512511</v>
      </c>
      <c r="O77" s="4">
        <v>5.8416317681762591</v>
      </c>
      <c r="P77" s="4">
        <v>7.1399411659131111</v>
      </c>
      <c r="Q77" s="4">
        <v>15.230544511708473</v>
      </c>
      <c r="R77" s="4">
        <v>16.120877828791514</v>
      </c>
      <c r="S77" s="4">
        <v>23.057282457223394</v>
      </c>
      <c r="T77" s="4">
        <v>32.503343056254927</v>
      </c>
      <c r="U77" s="4">
        <v>36.685999692743962</v>
      </c>
      <c r="V77" s="4">
        <v>48.149060916569312</v>
      </c>
      <c r="W77" s="4">
        <v>58.969743427902955</v>
      </c>
      <c r="X77" s="4">
        <v>59.05652074318337</v>
      </c>
    </row>
    <row r="78" spans="3:24" x14ac:dyDescent="0.3">
      <c r="C78" s="9">
        <v>4</v>
      </c>
      <c r="D78" s="4">
        <v>2.7492872550561454</v>
      </c>
      <c r="E78">
        <v>2.4693573876440182</v>
      </c>
      <c r="H78" s="9">
        <v>4</v>
      </c>
      <c r="I78" s="4">
        <v>0.25488837097451184</v>
      </c>
      <c r="J78" s="4">
        <v>0.34456020654347502</v>
      </c>
      <c r="K78" s="4">
        <v>8.0312517774739606E-2</v>
      </c>
      <c r="L78" s="4">
        <v>1000</v>
      </c>
      <c r="M78" s="4">
        <v>0.2119091383765872</v>
      </c>
      <c r="N78" s="4">
        <v>9.2453544280861006</v>
      </c>
      <c r="O78" s="4">
        <v>5.7242489011416087</v>
      </c>
      <c r="P78" s="4">
        <v>7.3913045351737701</v>
      </c>
      <c r="Q78" s="4">
        <v>16.106778684017559</v>
      </c>
      <c r="R78" s="4">
        <v>16.735788235124474</v>
      </c>
      <c r="S78" s="4">
        <v>24.28103148839325</v>
      </c>
      <c r="T78" s="4">
        <v>32.79520135091402</v>
      </c>
      <c r="U78" s="4">
        <v>36.817543948157393</v>
      </c>
      <c r="V78" s="4">
        <v>49.672654810327927</v>
      </c>
      <c r="W78" s="4">
        <v>60.269861475086998</v>
      </c>
      <c r="X78" s="4">
        <v>60.344059411961119</v>
      </c>
    </row>
    <row r="79" spans="3:24" x14ac:dyDescent="0.3">
      <c r="C79" s="9">
        <v>5</v>
      </c>
      <c r="D79" s="4">
        <v>2.502864793407944</v>
      </c>
      <c r="E79">
        <v>2.0805320942642949</v>
      </c>
      <c r="H79" s="9">
        <v>5</v>
      </c>
      <c r="I79" s="4">
        <v>0.84939421266973081</v>
      </c>
      <c r="J79" s="4">
        <v>0.4296587849273375</v>
      </c>
      <c r="K79" s="4">
        <v>0.27508591553096168</v>
      </c>
      <c r="L79" s="4">
        <v>0.2119091383765872</v>
      </c>
      <c r="M79" s="4">
        <v>1000</v>
      </c>
      <c r="N79" s="4">
        <v>6.6696078878071408</v>
      </c>
      <c r="O79" s="4">
        <v>3.7429455714280282</v>
      </c>
      <c r="P79" s="4">
        <v>5.1287515226621325</v>
      </c>
      <c r="Q79" s="4">
        <v>12.871497870505381</v>
      </c>
      <c r="R79" s="4">
        <v>13.288160739349969</v>
      </c>
      <c r="S79" s="4">
        <v>20.350697241162386</v>
      </c>
      <c r="T79" s="4">
        <v>27.741068151007795</v>
      </c>
      <c r="U79" s="4">
        <v>31.443096855389811</v>
      </c>
      <c r="V79" s="4">
        <v>43.78350747120043</v>
      </c>
      <c r="W79" s="4">
        <v>53.562483162998276</v>
      </c>
      <c r="X79" s="4">
        <v>53.626703030822512</v>
      </c>
    </row>
    <row r="80" spans="3:24" x14ac:dyDescent="0.3">
      <c r="C80" s="9">
        <v>6</v>
      </c>
      <c r="D80" s="4">
        <v>1.3635629200094348</v>
      </c>
      <c r="E80">
        <v>-0.23713896286995409</v>
      </c>
      <c r="H80" s="9">
        <v>6</v>
      </c>
      <c r="I80" s="4">
        <v>12.176372526807139</v>
      </c>
      <c r="J80" s="4">
        <v>9.0734817950925812</v>
      </c>
      <c r="K80" s="4">
        <v>9.3703850099512511</v>
      </c>
      <c r="L80" s="4">
        <v>9.2453544280861006</v>
      </c>
      <c r="M80" s="4">
        <v>6.6696078878071408</v>
      </c>
      <c r="N80" s="4">
        <v>1000</v>
      </c>
      <c r="O80" s="4">
        <v>0.4200180764104936</v>
      </c>
      <c r="P80" s="4">
        <v>0.58893904590153023</v>
      </c>
      <c r="Q80" s="4">
        <v>3.4826902324572315</v>
      </c>
      <c r="R80" s="4">
        <v>2.4493108466117084</v>
      </c>
      <c r="S80" s="4">
        <v>7.3996552128671302</v>
      </c>
      <c r="T80" s="4">
        <v>7.5600361906842881</v>
      </c>
      <c r="U80" s="4">
        <v>9.3049690108700069</v>
      </c>
      <c r="V80" s="4">
        <v>20.124418868626346</v>
      </c>
      <c r="W80" s="4">
        <v>25.087187468143714</v>
      </c>
      <c r="X80" s="4">
        <v>25.082975339997031</v>
      </c>
    </row>
    <row r="81" spans="3:24" x14ac:dyDescent="0.3">
      <c r="C81" s="9">
        <v>7</v>
      </c>
      <c r="D81" s="4">
        <v>1.6618762286236812</v>
      </c>
      <c r="E81">
        <v>0.33821071021078641</v>
      </c>
      <c r="H81" s="9">
        <v>7</v>
      </c>
      <c r="I81" s="4">
        <v>8.0865198901628723</v>
      </c>
      <c r="J81" s="4">
        <v>5.6663107391519603</v>
      </c>
      <c r="K81" s="4">
        <v>5.8416317681762591</v>
      </c>
      <c r="L81" s="4">
        <v>5.7242489011416087</v>
      </c>
      <c r="M81" s="4">
        <v>3.7429455714280282</v>
      </c>
      <c r="N81" s="4">
        <v>0.4200180764104936</v>
      </c>
      <c r="O81" s="4">
        <v>1000</v>
      </c>
      <c r="P81" s="4">
        <v>0.49260395195616902</v>
      </c>
      <c r="Q81" s="4">
        <v>4.6346990800183043</v>
      </c>
      <c r="R81" s="4">
        <v>3.9526232899825278</v>
      </c>
      <c r="S81" s="4">
        <v>9.4632641912324598</v>
      </c>
      <c r="T81" s="4">
        <v>11.393480150236144</v>
      </c>
      <c r="U81" s="4">
        <v>0.49260395195616902</v>
      </c>
      <c r="V81" s="4">
        <v>24.891729729967764</v>
      </c>
      <c r="W81" s="4">
        <v>31.052964297339745</v>
      </c>
      <c r="X81" s="4">
        <v>31.065319166447324</v>
      </c>
    </row>
    <row r="82" spans="3:24" x14ac:dyDescent="0.3">
      <c r="C82" s="9">
        <v>8</v>
      </c>
      <c r="D82" s="4">
        <v>0.96461923879012745</v>
      </c>
      <c r="E82">
        <v>0.41843939637989019</v>
      </c>
      <c r="H82" s="9">
        <v>8</v>
      </c>
      <c r="I82" s="4">
        <v>9.6451465260312652</v>
      </c>
      <c r="J82" s="4">
        <v>6.5280968786742672</v>
      </c>
      <c r="K82" s="4">
        <v>7.1399411659131111</v>
      </c>
      <c r="L82" s="4">
        <v>7.3913045351737701</v>
      </c>
      <c r="M82" s="4">
        <v>5.1287515226621325</v>
      </c>
      <c r="N82" s="4">
        <v>0.58893904590153023</v>
      </c>
      <c r="O82" s="4">
        <v>0.49260395195616902</v>
      </c>
      <c r="P82" s="4">
        <v>1000</v>
      </c>
      <c r="Q82" s="4">
        <v>2.1881682197616663</v>
      </c>
      <c r="R82" s="4">
        <v>1.9683002310938986</v>
      </c>
      <c r="S82" s="4">
        <v>5.8417495315312209</v>
      </c>
      <c r="T82" s="4">
        <v>9.2100799847660255</v>
      </c>
      <c r="U82" s="4">
        <v>11.613209145474718</v>
      </c>
      <c r="V82" s="4">
        <v>19.477285515823812</v>
      </c>
      <c r="W82" s="4">
        <v>25.668824374896047</v>
      </c>
      <c r="X82" s="4">
        <v>25.703568305028167</v>
      </c>
    </row>
    <row r="83" spans="3:24" x14ac:dyDescent="0.3">
      <c r="C83" s="9">
        <v>9</v>
      </c>
      <c r="D83" s="4">
        <v>-0.47544731996108108</v>
      </c>
      <c r="E83">
        <v>8.024340863296503E-2</v>
      </c>
      <c r="H83" s="9">
        <v>9</v>
      </c>
      <c r="I83" s="4">
        <v>18.645088518883128</v>
      </c>
      <c r="J83" s="4">
        <v>13.771005648618701</v>
      </c>
      <c r="K83" s="4">
        <v>15.230544511708473</v>
      </c>
      <c r="L83" s="4">
        <v>16.106778684017559</v>
      </c>
      <c r="M83" s="4">
        <v>12.871497870505381</v>
      </c>
      <c r="N83" s="4">
        <v>3.4826902324572315</v>
      </c>
      <c r="O83" s="4">
        <v>4.6346990800183043</v>
      </c>
      <c r="P83" s="4">
        <v>2.1881682197616663</v>
      </c>
      <c r="Q83" s="4">
        <v>1000</v>
      </c>
      <c r="R83" s="4">
        <v>0.28095229969763214</v>
      </c>
      <c r="S83" s="4">
        <v>0.88889821706954919</v>
      </c>
      <c r="T83" s="4">
        <v>5.256118175149183</v>
      </c>
      <c r="U83" s="4">
        <v>7.5584331072298507</v>
      </c>
      <c r="V83" s="4">
        <v>9.2208303833856906</v>
      </c>
      <c r="W83" s="4">
        <v>14.473712156739953</v>
      </c>
      <c r="X83" s="4">
        <v>14.533087381177037</v>
      </c>
    </row>
    <row r="84" spans="3:24" x14ac:dyDescent="0.3">
      <c r="C84" s="9">
        <v>10</v>
      </c>
      <c r="D84" s="4">
        <v>-0.19581128557752508</v>
      </c>
      <c r="E84">
        <v>-0.37004093261361976</v>
      </c>
      <c r="H84" s="9">
        <v>10</v>
      </c>
      <c r="I84" s="4">
        <v>19.739438394673844</v>
      </c>
      <c r="J84" s="4">
        <v>14.881106552569896</v>
      </c>
      <c r="K84" s="4">
        <v>16.120877828791514</v>
      </c>
      <c r="L84" s="4">
        <v>16.735788235124474</v>
      </c>
      <c r="M84" s="4">
        <v>13.288160739349969</v>
      </c>
      <c r="N84" s="4">
        <v>2.4493108466117084</v>
      </c>
      <c r="O84" s="4">
        <v>3.9526232899825278</v>
      </c>
      <c r="P84" s="4">
        <v>1.9683002310938986</v>
      </c>
      <c r="Q84" s="4">
        <v>0.28095229969763214</v>
      </c>
      <c r="R84" s="4">
        <v>1000</v>
      </c>
      <c r="S84" s="4">
        <v>1.360662371522372</v>
      </c>
      <c r="T84" s="4">
        <v>3.5154367184152484</v>
      </c>
      <c r="U84" s="4">
        <v>5.3648537741537625</v>
      </c>
      <c r="V84" s="4">
        <v>9.0835394485627905</v>
      </c>
      <c r="W84" s="4">
        <v>13.493480629358567</v>
      </c>
      <c r="X84" s="4">
        <v>13.525946100292408</v>
      </c>
    </row>
    <row r="85" spans="3:24" x14ac:dyDescent="0.3">
      <c r="C85" s="9">
        <v>11</v>
      </c>
      <c r="D85" s="4">
        <v>-1.3566085313162415</v>
      </c>
      <c r="E85">
        <v>-0.25509692099151615</v>
      </c>
      <c r="H85" s="9">
        <v>11</v>
      </c>
      <c r="I85" s="4">
        <v>27.122956446114905</v>
      </c>
      <c r="J85" s="4">
        <v>21.092775629262469</v>
      </c>
      <c r="K85" s="4">
        <v>23.057282457223394</v>
      </c>
      <c r="L85" s="4">
        <v>24.28103148839325</v>
      </c>
      <c r="M85" s="4">
        <v>20.350697241162386</v>
      </c>
      <c r="N85" s="4">
        <v>7.3996552128671302</v>
      </c>
      <c r="O85" s="4">
        <v>9.4632641912324598</v>
      </c>
      <c r="P85" s="4">
        <v>5.8417495315312209</v>
      </c>
      <c r="Q85" s="4">
        <v>0.88889821706954919</v>
      </c>
      <c r="R85" s="4">
        <v>1.360662371522372</v>
      </c>
      <c r="S85" s="4">
        <v>1000</v>
      </c>
      <c r="T85" s="4">
        <v>4.4761072051409485</v>
      </c>
      <c r="U85" s="4">
        <v>6.5991541380641676</v>
      </c>
      <c r="V85" s="4">
        <v>4.6788485114760192</v>
      </c>
      <c r="W85" s="4">
        <v>9.10223998922487</v>
      </c>
      <c r="X85" s="4">
        <v>9.171180323450784</v>
      </c>
    </row>
    <row r="86" spans="3:24" x14ac:dyDescent="0.3">
      <c r="C86" s="9">
        <v>12</v>
      </c>
      <c r="D86" s="4">
        <v>-0.55041306561502135</v>
      </c>
      <c r="E86">
        <v>-2.2111531768859476</v>
      </c>
      <c r="H86" s="9">
        <v>12</v>
      </c>
      <c r="I86" s="4">
        <v>37.64248373894813</v>
      </c>
      <c r="J86" s="4">
        <v>31.242762586541915</v>
      </c>
      <c r="K86" s="4">
        <v>32.503343056254927</v>
      </c>
      <c r="L86" s="4">
        <v>32.79520135091402</v>
      </c>
      <c r="M86" s="4">
        <v>27.741068151007795</v>
      </c>
      <c r="N86" s="4">
        <v>7.5600361906842881</v>
      </c>
      <c r="O86" s="4">
        <v>11.393480150236144</v>
      </c>
      <c r="P86" s="4">
        <v>9.2100799847660255</v>
      </c>
      <c r="Q86" s="4">
        <v>5.256118175149183</v>
      </c>
      <c r="R86" s="4">
        <v>3.5154367184152484</v>
      </c>
      <c r="S86" s="4">
        <v>4.4761072051409485</v>
      </c>
      <c r="T86" s="4">
        <v>1000</v>
      </c>
      <c r="U86" s="4">
        <v>0.2148981572699532</v>
      </c>
      <c r="V86" s="4">
        <v>5.3093020632269292</v>
      </c>
      <c r="W86" s="4">
        <v>5.9952676898707251</v>
      </c>
      <c r="X86" s="4">
        <v>5.9584136096137987</v>
      </c>
    </row>
    <row r="87" spans="3:24" x14ac:dyDescent="0.3">
      <c r="C87" s="9">
        <v>13</v>
      </c>
      <c r="D87" s="4">
        <v>-0.47788846897889509</v>
      </c>
      <c r="E87">
        <v>-2.6690159730953802</v>
      </c>
      <c r="H87" s="9">
        <v>13</v>
      </c>
      <c r="I87" s="4">
        <v>42.129649991446371</v>
      </c>
      <c r="J87" s="4">
        <v>35.518880975451225</v>
      </c>
      <c r="K87" s="4">
        <v>36.685999692743962</v>
      </c>
      <c r="L87" s="4">
        <v>36.817543948157393</v>
      </c>
      <c r="M87" s="4">
        <v>31.443096855389811</v>
      </c>
      <c r="N87" s="4">
        <v>9.3049690108700069</v>
      </c>
      <c r="O87" s="4">
        <v>13.622005285894851</v>
      </c>
      <c r="P87" s="4">
        <v>11.613209145474718</v>
      </c>
      <c r="Q87" s="4">
        <v>7.5584331072298507</v>
      </c>
      <c r="R87" s="4">
        <v>5.3648537741537625</v>
      </c>
      <c r="S87" s="4">
        <v>6.5991541380641676</v>
      </c>
      <c r="T87" s="4">
        <v>0.2148981572699532</v>
      </c>
      <c r="U87" s="4">
        <v>1000</v>
      </c>
      <c r="V87" s="4">
        <v>6.1909554892310412</v>
      </c>
      <c r="W87" s="4">
        <v>5.9805711888938733</v>
      </c>
      <c r="X87" s="4">
        <v>5.922110753352765</v>
      </c>
    </row>
    <row r="88" spans="3:24" x14ac:dyDescent="0.3">
      <c r="C88" s="9">
        <v>14</v>
      </c>
      <c r="D88" s="4">
        <v>-2.8250586330566256</v>
      </c>
      <c r="E88">
        <v>-1.8433358231012316</v>
      </c>
      <c r="H88" s="9">
        <v>14</v>
      </c>
      <c r="I88" s="4">
        <v>54.059172063993799</v>
      </c>
      <c r="J88" s="4">
        <v>45.453078781546424</v>
      </c>
      <c r="K88" s="4">
        <v>48.149060916569312</v>
      </c>
      <c r="L88" s="4">
        <v>49.672654810327927</v>
      </c>
      <c r="M88" s="4">
        <v>43.78350747120043</v>
      </c>
      <c r="N88" s="4">
        <v>20.124418868626346</v>
      </c>
      <c r="O88" s="4">
        <v>24.891729729967764</v>
      </c>
      <c r="P88" s="4">
        <v>19.477285515823812</v>
      </c>
      <c r="Q88" s="4">
        <v>9.2208303833856906</v>
      </c>
      <c r="R88" s="4">
        <v>9.0835394485627905</v>
      </c>
      <c r="S88" s="4">
        <v>4.6788485114760192</v>
      </c>
      <c r="T88" s="4">
        <v>5.3093020632269292</v>
      </c>
      <c r="U88" s="4">
        <v>6.1909554892310412</v>
      </c>
      <c r="V88" s="4">
        <v>1000</v>
      </c>
      <c r="W88" s="4">
        <v>0.99562712617082116</v>
      </c>
      <c r="X88" s="4">
        <v>1.0363620020810567</v>
      </c>
    </row>
    <row r="89" spans="3:24" x14ac:dyDescent="0.3">
      <c r="C89" s="9">
        <v>15</v>
      </c>
      <c r="D89" s="4">
        <v>-2.9176436842385471</v>
      </c>
      <c r="E89">
        <v>-2.8368423074627893</v>
      </c>
      <c r="H89" s="9">
        <v>15</v>
      </c>
      <c r="I89" s="4">
        <v>65.655137795900814</v>
      </c>
      <c r="J89" s="4">
        <v>56.323150603344054</v>
      </c>
      <c r="K89" s="4">
        <v>58.969743427902955</v>
      </c>
      <c r="L89" s="4">
        <v>60.269861475086998</v>
      </c>
      <c r="M89" s="4">
        <v>53.562483162998276</v>
      </c>
      <c r="N89" s="4">
        <v>25.087187468143714</v>
      </c>
      <c r="O89" s="4">
        <v>31.052964297339745</v>
      </c>
      <c r="P89" s="4">
        <v>25.668824374896047</v>
      </c>
      <c r="Q89" s="4">
        <v>14.473712156739953</v>
      </c>
      <c r="R89" s="4">
        <v>13.493480629358567</v>
      </c>
      <c r="S89" s="4">
        <v>9.10223998922487</v>
      </c>
      <c r="T89" s="4">
        <v>5.9952676898707251</v>
      </c>
      <c r="U89" s="4">
        <v>5.9805711888938733</v>
      </c>
      <c r="V89" s="4">
        <v>0.99562712617082116</v>
      </c>
      <c r="W89" s="4">
        <v>1000</v>
      </c>
      <c r="X89" s="4">
        <v>6.4441069312222031E-4</v>
      </c>
    </row>
    <row r="90" spans="3:24" x14ac:dyDescent="0.3">
      <c r="C90" s="9">
        <v>16</v>
      </c>
      <c r="D90" s="4">
        <v>-2.9040558294280086</v>
      </c>
      <c r="E90">
        <v>-2.8582848095269129</v>
      </c>
      <c r="H90" s="9">
        <v>16</v>
      </c>
      <c r="I90" s="4">
        <v>65.751505904668093</v>
      </c>
      <c r="J90" s="4">
        <v>56.420559935272237</v>
      </c>
      <c r="K90" s="4">
        <v>59.05652074318337</v>
      </c>
      <c r="L90" s="4">
        <v>60.344059411961119</v>
      </c>
      <c r="M90" s="4">
        <v>53.626703030822512</v>
      </c>
      <c r="N90" s="4">
        <v>25.082975339997031</v>
      </c>
      <c r="O90" s="4">
        <v>31.065319166447324</v>
      </c>
      <c r="P90" s="4">
        <v>25.703568305028167</v>
      </c>
      <c r="Q90" s="4">
        <v>14.533087381177037</v>
      </c>
      <c r="R90" s="4">
        <v>13.525946100292408</v>
      </c>
      <c r="S90" s="4">
        <v>9.171180323450784</v>
      </c>
      <c r="T90" s="4">
        <v>5.9584136096137987</v>
      </c>
      <c r="U90" s="4">
        <v>5.922110753352765</v>
      </c>
      <c r="V90" s="4">
        <v>1.0363620020810567</v>
      </c>
      <c r="W90" s="4">
        <v>6.4441069312222031E-4</v>
      </c>
      <c r="X90" s="4">
        <v>1000</v>
      </c>
    </row>
    <row r="92" spans="3:24" x14ac:dyDescent="0.3">
      <c r="I92" s="9">
        <v>1</v>
      </c>
      <c r="J92" s="9">
        <v>2</v>
      </c>
      <c r="K92" s="9">
        <v>3</v>
      </c>
      <c r="L92" s="9">
        <v>4</v>
      </c>
      <c r="M92" s="9">
        <v>5</v>
      </c>
      <c r="N92" s="9">
        <v>6</v>
      </c>
      <c r="O92" s="9">
        <v>7</v>
      </c>
      <c r="P92" s="9">
        <v>8</v>
      </c>
      <c r="Q92" s="9">
        <v>9</v>
      </c>
      <c r="R92" s="9">
        <v>10</v>
      </c>
      <c r="S92" s="9">
        <v>11</v>
      </c>
      <c r="T92" s="9">
        <v>12</v>
      </c>
      <c r="U92" s="9">
        <v>13</v>
      </c>
      <c r="V92" s="9">
        <v>14</v>
      </c>
      <c r="W92" s="9">
        <v>15</v>
      </c>
      <c r="X92" s="9">
        <v>16</v>
      </c>
    </row>
    <row r="93" spans="3:24" x14ac:dyDescent="0.3">
      <c r="H93" s="9">
        <v>1</v>
      </c>
      <c r="I93" s="4">
        <f>RANK(I75,I75:X90,1)</f>
        <v>241</v>
      </c>
      <c r="J93" s="4">
        <f t="shared" ref="J93:X108" si="2">RANK(J75,J75:Y90,1)</f>
        <v>19</v>
      </c>
      <c r="K93" s="4">
        <f t="shared" si="2"/>
        <v>6</v>
      </c>
      <c r="L93" s="4">
        <f t="shared" si="2"/>
        <v>8</v>
      </c>
      <c r="M93" s="4">
        <f t="shared" si="2"/>
        <v>17</v>
      </c>
      <c r="N93" s="4">
        <f t="shared" si="2"/>
        <v>98</v>
      </c>
      <c r="O93" s="4">
        <f t="shared" si="2"/>
        <v>68</v>
      </c>
      <c r="P93" s="4">
        <f t="shared" si="2"/>
        <v>72</v>
      </c>
      <c r="Q93" s="4">
        <f t="shared" si="2"/>
        <v>80</v>
      </c>
      <c r="R93" s="4">
        <f t="shared" si="2"/>
        <v>67</v>
      </c>
      <c r="S93" s="4">
        <f t="shared" si="2"/>
        <v>63</v>
      </c>
      <c r="T93" s="4">
        <f t="shared" si="2"/>
        <v>59</v>
      </c>
      <c r="U93" s="4">
        <f t="shared" si="2"/>
        <v>45</v>
      </c>
      <c r="V93" s="4">
        <f t="shared" si="2"/>
        <v>37</v>
      </c>
      <c r="W93" s="4">
        <f t="shared" si="2"/>
        <v>29</v>
      </c>
      <c r="X93" s="4">
        <f t="shared" si="2"/>
        <v>15</v>
      </c>
    </row>
    <row r="94" spans="3:24" x14ac:dyDescent="0.3">
      <c r="H94" s="9">
        <v>2</v>
      </c>
      <c r="I94" s="4">
        <f t="shared" ref="I94:I108" si="3">RANK(I76,I76:X91,1)</f>
        <v>19</v>
      </c>
      <c r="J94" s="4">
        <f t="shared" si="2"/>
        <v>211</v>
      </c>
      <c r="K94" s="4">
        <f t="shared" si="2"/>
        <v>5</v>
      </c>
      <c r="L94" s="4">
        <f t="shared" si="2"/>
        <v>11</v>
      </c>
      <c r="M94" s="4">
        <f t="shared" si="2"/>
        <v>11</v>
      </c>
      <c r="N94" s="4">
        <f t="shared" si="2"/>
        <v>75</v>
      </c>
      <c r="O94" s="4">
        <f t="shared" si="2"/>
        <v>44</v>
      </c>
      <c r="P94" s="4">
        <f t="shared" si="2"/>
        <v>51</v>
      </c>
      <c r="Q94" s="4">
        <f t="shared" si="2"/>
        <v>70</v>
      </c>
      <c r="R94" s="4">
        <f t="shared" si="2"/>
        <v>63</v>
      </c>
      <c r="S94" s="4">
        <f t="shared" si="2"/>
        <v>55</v>
      </c>
      <c r="T94" s="4">
        <f t="shared" si="2"/>
        <v>52</v>
      </c>
      <c r="U94" s="4">
        <f t="shared" si="2"/>
        <v>42</v>
      </c>
      <c r="V94" s="4">
        <f t="shared" si="2"/>
        <v>32</v>
      </c>
      <c r="W94" s="4">
        <f t="shared" si="2"/>
        <v>23</v>
      </c>
      <c r="X94" s="4">
        <f t="shared" si="2"/>
        <v>12</v>
      </c>
    </row>
    <row r="95" spans="3:24" x14ac:dyDescent="0.3">
      <c r="H95" s="9">
        <v>3</v>
      </c>
      <c r="I95" s="4">
        <f t="shared" si="3"/>
        <v>6</v>
      </c>
      <c r="J95" s="4">
        <f t="shared" si="2"/>
        <v>5</v>
      </c>
      <c r="K95" s="4">
        <f t="shared" si="2"/>
        <v>197</v>
      </c>
      <c r="L95" s="4">
        <f t="shared" si="2"/>
        <v>3</v>
      </c>
      <c r="M95" s="4">
        <f t="shared" si="2"/>
        <v>6</v>
      </c>
      <c r="N95" s="4">
        <f t="shared" si="2"/>
        <v>90</v>
      </c>
      <c r="O95" s="4">
        <f t="shared" si="2"/>
        <v>45</v>
      </c>
      <c r="P95" s="4">
        <f t="shared" si="2"/>
        <v>53</v>
      </c>
      <c r="Q95" s="4">
        <f t="shared" si="2"/>
        <v>81</v>
      </c>
      <c r="R95" s="4">
        <f t="shared" si="2"/>
        <v>70</v>
      </c>
      <c r="S95" s="4">
        <f t="shared" si="2"/>
        <v>61</v>
      </c>
      <c r="T95" s="4">
        <f t="shared" si="2"/>
        <v>58</v>
      </c>
      <c r="U95" s="4">
        <f t="shared" si="2"/>
        <v>46</v>
      </c>
      <c r="V95" s="4">
        <f t="shared" si="2"/>
        <v>35</v>
      </c>
      <c r="W95" s="4">
        <f t="shared" si="2"/>
        <v>25</v>
      </c>
      <c r="X95" s="4">
        <f t="shared" si="2"/>
        <v>13</v>
      </c>
    </row>
    <row r="96" spans="3:24" x14ac:dyDescent="0.3">
      <c r="H96" s="9">
        <v>4</v>
      </c>
      <c r="I96" s="4">
        <f t="shared" si="3"/>
        <v>8</v>
      </c>
      <c r="J96" s="4">
        <f t="shared" si="2"/>
        <v>11</v>
      </c>
      <c r="K96" s="4">
        <f t="shared" si="2"/>
        <v>3</v>
      </c>
      <c r="L96" s="4">
        <f t="shared" si="2"/>
        <v>183</v>
      </c>
      <c r="M96" s="4">
        <f t="shared" si="2"/>
        <v>3</v>
      </c>
      <c r="N96" s="4">
        <f t="shared" si="2"/>
        <v>85</v>
      </c>
      <c r="O96" s="4">
        <f t="shared" si="2"/>
        <v>44</v>
      </c>
      <c r="P96" s="4">
        <f t="shared" si="2"/>
        <v>53</v>
      </c>
      <c r="Q96" s="4">
        <f t="shared" si="2"/>
        <v>83</v>
      </c>
      <c r="R96" s="4">
        <f t="shared" si="2"/>
        <v>71</v>
      </c>
      <c r="S96" s="4">
        <f t="shared" si="2"/>
        <v>62</v>
      </c>
      <c r="T96" s="4">
        <f t="shared" si="2"/>
        <v>60</v>
      </c>
      <c r="U96" s="4">
        <f t="shared" si="2"/>
        <v>48</v>
      </c>
      <c r="V96" s="4">
        <f t="shared" si="2"/>
        <v>38</v>
      </c>
      <c r="W96" s="4">
        <f t="shared" si="2"/>
        <v>27</v>
      </c>
      <c r="X96" s="4">
        <f t="shared" si="2"/>
        <v>14</v>
      </c>
    </row>
    <row r="97" spans="8:24" x14ac:dyDescent="0.3">
      <c r="H97" s="9">
        <v>5</v>
      </c>
      <c r="I97" s="4">
        <f t="shared" si="3"/>
        <v>17</v>
      </c>
      <c r="J97" s="4">
        <f t="shared" si="2"/>
        <v>11</v>
      </c>
      <c r="K97" s="4">
        <f t="shared" si="2"/>
        <v>6</v>
      </c>
      <c r="L97" s="4">
        <f t="shared" si="2"/>
        <v>3</v>
      </c>
      <c r="M97" s="4">
        <f t="shared" si="2"/>
        <v>169</v>
      </c>
      <c r="N97" s="4">
        <f t="shared" si="2"/>
        <v>63</v>
      </c>
      <c r="O97" s="4">
        <f t="shared" si="2"/>
        <v>28</v>
      </c>
      <c r="P97" s="4">
        <f t="shared" si="2"/>
        <v>32</v>
      </c>
      <c r="Q97" s="4">
        <f t="shared" si="2"/>
        <v>69</v>
      </c>
      <c r="R97" s="4">
        <f t="shared" si="2"/>
        <v>61</v>
      </c>
      <c r="S97" s="4">
        <f t="shared" si="2"/>
        <v>62</v>
      </c>
      <c r="T97" s="4">
        <f t="shared" si="2"/>
        <v>57</v>
      </c>
      <c r="U97" s="4">
        <f t="shared" si="2"/>
        <v>49</v>
      </c>
      <c r="V97" s="4">
        <f t="shared" si="2"/>
        <v>40</v>
      </c>
      <c r="W97" s="4">
        <f t="shared" si="2"/>
        <v>27</v>
      </c>
      <c r="X97" s="4">
        <f t="shared" si="2"/>
        <v>14</v>
      </c>
    </row>
    <row r="98" spans="8:24" x14ac:dyDescent="0.3">
      <c r="H98" s="9">
        <v>6</v>
      </c>
      <c r="I98" s="4">
        <f t="shared" si="3"/>
        <v>120</v>
      </c>
      <c r="J98" s="4">
        <f t="shared" si="2"/>
        <v>89</v>
      </c>
      <c r="K98" s="4">
        <f t="shared" si="2"/>
        <v>98</v>
      </c>
      <c r="L98" s="4">
        <f t="shared" si="2"/>
        <v>90</v>
      </c>
      <c r="M98" s="4">
        <f t="shared" si="2"/>
        <v>65</v>
      </c>
      <c r="N98" s="4">
        <f t="shared" si="2"/>
        <v>155</v>
      </c>
      <c r="O98" s="4">
        <f t="shared" si="2"/>
        <v>7</v>
      </c>
      <c r="P98" s="4">
        <f t="shared" si="2"/>
        <v>9</v>
      </c>
      <c r="Q98" s="4">
        <f t="shared" si="2"/>
        <v>19</v>
      </c>
      <c r="R98" s="4">
        <f t="shared" si="2"/>
        <v>15</v>
      </c>
      <c r="S98" s="4">
        <f t="shared" si="2"/>
        <v>34</v>
      </c>
      <c r="T98" s="4">
        <f t="shared" si="2"/>
        <v>29</v>
      </c>
      <c r="U98" s="4">
        <f t="shared" si="2"/>
        <v>26</v>
      </c>
      <c r="V98" s="4">
        <f t="shared" si="2"/>
        <v>29</v>
      </c>
      <c r="W98" s="4">
        <f t="shared" si="2"/>
        <v>23</v>
      </c>
      <c r="X98" s="4">
        <f t="shared" si="2"/>
        <v>12</v>
      </c>
    </row>
    <row r="99" spans="8:24" x14ac:dyDescent="0.3">
      <c r="H99" s="9">
        <v>7</v>
      </c>
      <c r="I99" s="4">
        <f t="shared" si="3"/>
        <v>86</v>
      </c>
      <c r="J99" s="4">
        <f t="shared" si="2"/>
        <v>53</v>
      </c>
      <c r="K99" s="4">
        <f t="shared" si="2"/>
        <v>52</v>
      </c>
      <c r="L99" s="4">
        <f t="shared" si="2"/>
        <v>48</v>
      </c>
      <c r="M99" s="4">
        <f t="shared" si="2"/>
        <v>29</v>
      </c>
      <c r="N99" s="4">
        <f t="shared" si="2"/>
        <v>7</v>
      </c>
      <c r="O99" s="4">
        <f t="shared" si="2"/>
        <v>141</v>
      </c>
      <c r="P99" s="4">
        <f t="shared" si="2"/>
        <v>7</v>
      </c>
      <c r="Q99" s="4">
        <f t="shared" si="2"/>
        <v>23</v>
      </c>
      <c r="R99" s="4">
        <f t="shared" si="2"/>
        <v>17</v>
      </c>
      <c r="S99" s="4">
        <f t="shared" si="2"/>
        <v>42</v>
      </c>
      <c r="T99" s="4">
        <f t="shared" si="2"/>
        <v>34</v>
      </c>
      <c r="U99" s="4">
        <f t="shared" si="2"/>
        <v>4</v>
      </c>
      <c r="V99" s="4">
        <f t="shared" si="2"/>
        <v>31</v>
      </c>
      <c r="W99" s="4">
        <f t="shared" si="2"/>
        <v>27</v>
      </c>
      <c r="X99" s="4">
        <f t="shared" si="2"/>
        <v>14</v>
      </c>
    </row>
    <row r="100" spans="8:24" x14ac:dyDescent="0.3">
      <c r="H100" s="9">
        <v>8</v>
      </c>
      <c r="I100" s="4">
        <f t="shared" si="3"/>
        <v>92</v>
      </c>
      <c r="J100" s="4">
        <f t="shared" si="2"/>
        <v>64</v>
      </c>
      <c r="K100" s="4">
        <f t="shared" si="2"/>
        <v>65</v>
      </c>
      <c r="L100" s="4">
        <f t="shared" si="2"/>
        <v>60</v>
      </c>
      <c r="M100" s="4">
        <f t="shared" si="2"/>
        <v>33</v>
      </c>
      <c r="N100" s="4">
        <f t="shared" si="2"/>
        <v>8</v>
      </c>
      <c r="O100" s="4">
        <f t="shared" si="2"/>
        <v>7</v>
      </c>
      <c r="P100" s="4">
        <f t="shared" si="2"/>
        <v>127</v>
      </c>
      <c r="Q100" s="4">
        <f t="shared" si="2"/>
        <v>16</v>
      </c>
      <c r="R100" s="4">
        <f t="shared" si="2"/>
        <v>13</v>
      </c>
      <c r="S100" s="4">
        <f t="shared" si="2"/>
        <v>20</v>
      </c>
      <c r="T100" s="4">
        <f t="shared" si="2"/>
        <v>31</v>
      </c>
      <c r="U100" s="4">
        <f t="shared" si="2"/>
        <v>25</v>
      </c>
      <c r="V100" s="4">
        <f t="shared" si="2"/>
        <v>30</v>
      </c>
      <c r="W100" s="4">
        <f t="shared" si="2"/>
        <v>24</v>
      </c>
      <c r="X100" s="4">
        <f t="shared" si="2"/>
        <v>14</v>
      </c>
    </row>
    <row r="101" spans="8:24" x14ac:dyDescent="0.3">
      <c r="H101" s="9">
        <v>9</v>
      </c>
      <c r="I101" s="4">
        <f t="shared" si="3"/>
        <v>123</v>
      </c>
      <c r="J101" s="4">
        <f t="shared" si="2"/>
        <v>101</v>
      </c>
      <c r="K101" s="4">
        <f t="shared" si="2"/>
        <v>107</v>
      </c>
      <c r="L101" s="4">
        <f t="shared" si="2"/>
        <v>103</v>
      </c>
      <c r="M101" s="4">
        <f t="shared" si="2"/>
        <v>78</v>
      </c>
      <c r="N101" s="4">
        <f t="shared" si="2"/>
        <v>18</v>
      </c>
      <c r="O101" s="4">
        <f t="shared" si="2"/>
        <v>22</v>
      </c>
      <c r="P101" s="4">
        <f t="shared" si="2"/>
        <v>16</v>
      </c>
      <c r="Q101" s="4">
        <f t="shared" si="2"/>
        <v>113</v>
      </c>
      <c r="R101" s="4">
        <f t="shared" si="2"/>
        <v>5</v>
      </c>
      <c r="S101" s="4">
        <f t="shared" si="2"/>
        <v>5</v>
      </c>
      <c r="T101" s="4">
        <f t="shared" si="2"/>
        <v>12</v>
      </c>
      <c r="U101" s="4">
        <f t="shared" si="2"/>
        <v>20</v>
      </c>
      <c r="V101" s="4">
        <f t="shared" si="2"/>
        <v>17</v>
      </c>
      <c r="W101" s="4">
        <f t="shared" si="2"/>
        <v>18</v>
      </c>
      <c r="X101" s="4">
        <f t="shared" si="2"/>
        <v>12</v>
      </c>
    </row>
    <row r="102" spans="8:24" x14ac:dyDescent="0.3">
      <c r="H102" s="9">
        <v>10</v>
      </c>
      <c r="I102" s="4">
        <f t="shared" si="3"/>
        <v>118</v>
      </c>
      <c r="J102" s="4">
        <f t="shared" si="2"/>
        <v>101</v>
      </c>
      <c r="K102" s="4">
        <f t="shared" si="2"/>
        <v>101</v>
      </c>
      <c r="L102" s="4">
        <f t="shared" si="2"/>
        <v>96</v>
      </c>
      <c r="M102" s="4">
        <f t="shared" si="2"/>
        <v>75</v>
      </c>
      <c r="N102" s="4">
        <f t="shared" si="2"/>
        <v>14</v>
      </c>
      <c r="O102" s="4">
        <f t="shared" si="2"/>
        <v>16</v>
      </c>
      <c r="P102" s="4">
        <f t="shared" si="2"/>
        <v>13</v>
      </c>
      <c r="Q102" s="4">
        <f t="shared" si="2"/>
        <v>5</v>
      </c>
      <c r="R102" s="4">
        <f t="shared" si="2"/>
        <v>99</v>
      </c>
      <c r="S102" s="4">
        <f t="shared" si="2"/>
        <v>9</v>
      </c>
      <c r="T102" s="4">
        <f t="shared" si="2"/>
        <v>9</v>
      </c>
      <c r="U102" s="4">
        <f t="shared" si="2"/>
        <v>11</v>
      </c>
      <c r="V102" s="4">
        <f t="shared" si="2"/>
        <v>14</v>
      </c>
      <c r="W102" s="4">
        <f t="shared" si="2"/>
        <v>14</v>
      </c>
      <c r="X102" s="4">
        <f t="shared" si="2"/>
        <v>9</v>
      </c>
    </row>
    <row r="103" spans="8:24" x14ac:dyDescent="0.3">
      <c r="H103" s="9">
        <v>11</v>
      </c>
      <c r="I103" s="4">
        <f t="shared" si="3"/>
        <v>130</v>
      </c>
      <c r="J103" s="4">
        <f t="shared" si="2"/>
        <v>107</v>
      </c>
      <c r="K103" s="4">
        <f t="shared" si="2"/>
        <v>105</v>
      </c>
      <c r="L103" s="4">
        <f t="shared" si="2"/>
        <v>101</v>
      </c>
      <c r="M103" s="4">
        <f t="shared" si="2"/>
        <v>91</v>
      </c>
      <c r="N103" s="4">
        <f t="shared" si="2"/>
        <v>40</v>
      </c>
      <c r="O103" s="4">
        <f t="shared" si="2"/>
        <v>49</v>
      </c>
      <c r="P103" s="4">
        <f t="shared" si="2"/>
        <v>21</v>
      </c>
      <c r="Q103" s="4">
        <f t="shared" si="2"/>
        <v>5</v>
      </c>
      <c r="R103" s="4">
        <f t="shared" si="2"/>
        <v>9</v>
      </c>
      <c r="S103" s="4">
        <f t="shared" si="2"/>
        <v>85</v>
      </c>
      <c r="T103" s="4">
        <f t="shared" si="2"/>
        <v>10</v>
      </c>
      <c r="U103" s="4">
        <f t="shared" si="2"/>
        <v>19</v>
      </c>
      <c r="V103" s="4">
        <f t="shared" si="2"/>
        <v>7</v>
      </c>
      <c r="W103" s="4">
        <f t="shared" si="2"/>
        <v>9</v>
      </c>
      <c r="X103" s="4">
        <f t="shared" si="2"/>
        <v>5</v>
      </c>
    </row>
    <row r="104" spans="8:24" x14ac:dyDescent="0.3">
      <c r="H104" s="9">
        <v>12</v>
      </c>
      <c r="I104" s="4">
        <f t="shared" si="3"/>
        <v>151</v>
      </c>
      <c r="J104" s="4">
        <f t="shared" si="2"/>
        <v>132</v>
      </c>
      <c r="K104" s="4">
        <f t="shared" si="2"/>
        <v>130</v>
      </c>
      <c r="L104" s="4">
        <f t="shared" si="2"/>
        <v>125</v>
      </c>
      <c r="M104" s="4">
        <f t="shared" si="2"/>
        <v>106</v>
      </c>
      <c r="N104" s="4">
        <f t="shared" si="2"/>
        <v>37</v>
      </c>
      <c r="O104" s="4">
        <f t="shared" si="2"/>
        <v>45</v>
      </c>
      <c r="P104" s="4">
        <f t="shared" si="2"/>
        <v>38</v>
      </c>
      <c r="Q104" s="4">
        <f t="shared" si="2"/>
        <v>15</v>
      </c>
      <c r="R104" s="4">
        <f t="shared" si="2"/>
        <v>9</v>
      </c>
      <c r="S104" s="4">
        <f t="shared" si="2"/>
        <v>10</v>
      </c>
      <c r="T104" s="4">
        <f t="shared" si="2"/>
        <v>71</v>
      </c>
      <c r="U104" s="4">
        <f t="shared" si="2"/>
        <v>3</v>
      </c>
      <c r="V104" s="4">
        <f t="shared" si="2"/>
        <v>7</v>
      </c>
      <c r="W104" s="4">
        <f t="shared" si="2"/>
        <v>8</v>
      </c>
      <c r="X104" s="4">
        <f t="shared" si="2"/>
        <v>4</v>
      </c>
    </row>
    <row r="105" spans="8:24" x14ac:dyDescent="0.3">
      <c r="H105" s="9">
        <v>13</v>
      </c>
      <c r="I105" s="4">
        <f t="shared" si="3"/>
        <v>151</v>
      </c>
      <c r="J105" s="4">
        <f t="shared" si="2"/>
        <v>138</v>
      </c>
      <c r="K105" s="4">
        <f t="shared" si="2"/>
        <v>133</v>
      </c>
      <c r="L105" s="4">
        <f t="shared" si="2"/>
        <v>128</v>
      </c>
      <c r="M105" s="4">
        <f t="shared" si="2"/>
        <v>116</v>
      </c>
      <c r="N105" s="4">
        <f t="shared" si="2"/>
        <v>42</v>
      </c>
      <c r="O105" s="4">
        <f t="shared" si="2"/>
        <v>54</v>
      </c>
      <c r="P105" s="4">
        <f t="shared" si="2"/>
        <v>39</v>
      </c>
      <c r="Q105" s="4">
        <f t="shared" si="2"/>
        <v>24</v>
      </c>
      <c r="R105" s="4">
        <f t="shared" si="2"/>
        <v>13</v>
      </c>
      <c r="S105" s="4">
        <f t="shared" si="2"/>
        <v>20</v>
      </c>
      <c r="T105" s="4">
        <f t="shared" si="2"/>
        <v>3</v>
      </c>
      <c r="U105" s="4">
        <f t="shared" si="2"/>
        <v>57</v>
      </c>
      <c r="V105" s="4">
        <f t="shared" si="2"/>
        <v>9</v>
      </c>
      <c r="W105" s="4">
        <f t="shared" si="2"/>
        <v>6</v>
      </c>
      <c r="X105" s="4">
        <f t="shared" si="2"/>
        <v>3</v>
      </c>
    </row>
    <row r="106" spans="8:24" x14ac:dyDescent="0.3">
      <c r="H106" s="9">
        <v>14</v>
      </c>
      <c r="I106" s="4">
        <f t="shared" si="3"/>
        <v>167</v>
      </c>
      <c r="J106" s="4">
        <f t="shared" si="2"/>
        <v>146</v>
      </c>
      <c r="K106" s="4">
        <f t="shared" si="2"/>
        <v>144</v>
      </c>
      <c r="L106" s="4">
        <f t="shared" si="2"/>
        <v>141</v>
      </c>
      <c r="M106" s="4">
        <f t="shared" si="2"/>
        <v>126</v>
      </c>
      <c r="N106" s="4">
        <f t="shared" si="2"/>
        <v>81</v>
      </c>
      <c r="O106" s="4">
        <f t="shared" si="2"/>
        <v>82</v>
      </c>
      <c r="P106" s="4">
        <f t="shared" si="2"/>
        <v>69</v>
      </c>
      <c r="Q106" s="4">
        <f t="shared" si="2"/>
        <v>30</v>
      </c>
      <c r="R106" s="4">
        <f t="shared" si="2"/>
        <v>24</v>
      </c>
      <c r="S106" s="4">
        <f t="shared" si="2"/>
        <v>8</v>
      </c>
      <c r="T106" s="4">
        <f t="shared" si="2"/>
        <v>9</v>
      </c>
      <c r="U106" s="4">
        <f t="shared" si="2"/>
        <v>11</v>
      </c>
      <c r="V106" s="4">
        <f t="shared" si="2"/>
        <v>43</v>
      </c>
      <c r="W106" s="4">
        <f t="shared" si="2"/>
        <v>3</v>
      </c>
      <c r="X106" s="4">
        <f t="shared" si="2"/>
        <v>2</v>
      </c>
    </row>
    <row r="107" spans="8:24" x14ac:dyDescent="0.3">
      <c r="H107" s="9">
        <v>15</v>
      </c>
      <c r="I107" s="4">
        <f t="shared" si="3"/>
        <v>185</v>
      </c>
      <c r="J107" s="4">
        <f t="shared" si="2"/>
        <v>159</v>
      </c>
      <c r="K107" s="4">
        <f t="shared" si="2"/>
        <v>155</v>
      </c>
      <c r="L107" s="4">
        <f t="shared" si="2"/>
        <v>152</v>
      </c>
      <c r="M107" s="4">
        <f t="shared" si="2"/>
        <v>138</v>
      </c>
      <c r="N107" s="4">
        <f t="shared" si="2"/>
        <v>89</v>
      </c>
      <c r="O107" s="4">
        <f t="shared" si="2"/>
        <v>96</v>
      </c>
      <c r="P107" s="4">
        <f t="shared" si="2"/>
        <v>78</v>
      </c>
      <c r="Q107" s="4">
        <f t="shared" si="2"/>
        <v>51</v>
      </c>
      <c r="R107" s="4">
        <f t="shared" si="2"/>
        <v>39</v>
      </c>
      <c r="S107" s="4">
        <f t="shared" si="2"/>
        <v>21</v>
      </c>
      <c r="T107" s="4">
        <f t="shared" si="2"/>
        <v>12</v>
      </c>
      <c r="U107" s="4">
        <f t="shared" si="2"/>
        <v>10</v>
      </c>
      <c r="V107" s="4">
        <f t="shared" si="2"/>
        <v>3</v>
      </c>
      <c r="W107" s="4">
        <f t="shared" si="2"/>
        <v>29</v>
      </c>
      <c r="X107" s="4">
        <f t="shared" si="2"/>
        <v>1</v>
      </c>
    </row>
    <row r="108" spans="8:24" x14ac:dyDescent="0.3">
      <c r="H108" s="9">
        <v>16</v>
      </c>
      <c r="I108" s="4">
        <f t="shared" si="3"/>
        <v>182</v>
      </c>
      <c r="J108" s="4">
        <f t="shared" si="2"/>
        <v>158</v>
      </c>
      <c r="K108" s="4">
        <f t="shared" si="2"/>
        <v>156</v>
      </c>
      <c r="L108" s="4">
        <f t="shared" si="2"/>
        <v>152</v>
      </c>
      <c r="M108" s="4">
        <f t="shared" si="2"/>
        <v>137</v>
      </c>
      <c r="N108" s="4">
        <f t="shared" si="2"/>
        <v>88</v>
      </c>
      <c r="O108" s="4">
        <f t="shared" si="2"/>
        <v>95</v>
      </c>
      <c r="P108" s="4">
        <f t="shared" si="2"/>
        <v>78</v>
      </c>
      <c r="Q108" s="4">
        <f t="shared" si="2"/>
        <v>50</v>
      </c>
      <c r="R108" s="4">
        <f t="shared" si="2"/>
        <v>39</v>
      </c>
      <c r="S108" s="4">
        <f t="shared" si="2"/>
        <v>21</v>
      </c>
      <c r="T108" s="4">
        <f t="shared" si="2"/>
        <v>10</v>
      </c>
      <c r="U108" s="4">
        <f t="shared" si="2"/>
        <v>8</v>
      </c>
      <c r="V108" s="4">
        <f t="shared" si="2"/>
        <v>2</v>
      </c>
      <c r="W108" s="4">
        <f t="shared" si="2"/>
        <v>1</v>
      </c>
      <c r="X108" s="4">
        <f t="shared" si="2"/>
        <v>15</v>
      </c>
    </row>
    <row r="109" spans="8:24" x14ac:dyDescent="0.3">
      <c r="H109" s="9"/>
      <c r="I109" s="4"/>
      <c r="J109" s="4"/>
      <c r="K109" s="4"/>
      <c r="L109" s="4"/>
      <c r="M109" s="4"/>
      <c r="N109" s="4"/>
      <c r="O109" s="4"/>
      <c r="P109" s="4"/>
      <c r="Q109" s="4"/>
      <c r="R109" s="4"/>
      <c r="S109" s="4"/>
      <c r="T109" s="4"/>
      <c r="U109" s="4"/>
      <c r="V109" s="4"/>
      <c r="W109" s="4"/>
      <c r="X109" s="4"/>
    </row>
    <row r="110" spans="8:24" ht="18" x14ac:dyDescent="0.35">
      <c r="H110" s="18" t="s">
        <v>35</v>
      </c>
      <c r="I110" s="11"/>
      <c r="J110" s="11"/>
      <c r="K110" s="11"/>
      <c r="L110" s="11"/>
      <c r="M110" s="11"/>
      <c r="N110" s="11"/>
      <c r="O110" s="11"/>
      <c r="P110" s="11"/>
      <c r="Q110" s="11"/>
      <c r="R110" s="21"/>
      <c r="S110" s="4"/>
      <c r="T110" s="4"/>
      <c r="U110" s="4"/>
      <c r="V110" s="4"/>
      <c r="W110" s="4"/>
      <c r="X110" s="4"/>
    </row>
    <row r="111" spans="8:24" ht="18" x14ac:dyDescent="0.35">
      <c r="H111" s="20" t="s">
        <v>36</v>
      </c>
      <c r="I111" s="11"/>
      <c r="J111" s="11"/>
      <c r="K111" s="11"/>
      <c r="L111" s="11"/>
      <c r="M111" s="11"/>
      <c r="N111" s="11"/>
      <c r="O111" s="11"/>
      <c r="P111" s="11"/>
      <c r="Q111" s="11"/>
      <c r="R111" s="21"/>
      <c r="S111" s="4"/>
      <c r="T111" s="4"/>
      <c r="U111" s="4"/>
      <c r="V111" s="4"/>
      <c r="W111" s="4"/>
      <c r="X111" s="4"/>
    </row>
    <row r="112" spans="8:24" ht="18" x14ac:dyDescent="0.35">
      <c r="H112" s="18" t="s">
        <v>37</v>
      </c>
      <c r="I112" s="11"/>
      <c r="J112" s="11"/>
      <c r="K112" s="11"/>
      <c r="L112" s="11"/>
      <c r="M112" s="11"/>
      <c r="N112" s="11"/>
      <c r="O112" s="11"/>
      <c r="P112" s="11"/>
      <c r="Q112" s="11"/>
      <c r="R112" s="21"/>
      <c r="S112" s="4"/>
      <c r="T112" s="4"/>
      <c r="U112" s="4"/>
      <c r="V112" s="4"/>
      <c r="W112" s="4"/>
      <c r="X112" s="4"/>
    </row>
    <row r="113" spans="5:24" x14ac:dyDescent="0.3">
      <c r="R113" s="4"/>
      <c r="S113" s="4"/>
      <c r="T113" s="4"/>
      <c r="U113" s="4"/>
      <c r="V113" s="4"/>
      <c r="W113" s="4"/>
      <c r="X113" s="4"/>
    </row>
    <row r="115" spans="5:24" x14ac:dyDescent="0.3">
      <c r="R115" s="6"/>
    </row>
    <row r="118" spans="5:24" ht="18" x14ac:dyDescent="0.35">
      <c r="E118" s="10" t="s">
        <v>45</v>
      </c>
      <c r="F118" s="10"/>
      <c r="G118" s="10">
        <f>CORREL(I54:X69,I93:X108)</f>
        <v>0.94869155109545678</v>
      </c>
    </row>
    <row r="131" spans="5:16" ht="18" x14ac:dyDescent="0.35">
      <c r="E131" s="18" t="s">
        <v>38</v>
      </c>
      <c r="F131" s="11"/>
      <c r="G131" s="11"/>
      <c r="H131" s="11"/>
      <c r="I131" s="11"/>
      <c r="J131" s="11"/>
      <c r="K131" s="11"/>
      <c r="L131" s="11"/>
      <c r="M131" s="11"/>
      <c r="N131" s="11"/>
      <c r="O131" s="12"/>
      <c r="P131" s="12"/>
    </row>
  </sheetData>
  <mergeCells count="1">
    <mergeCell ref="B14:F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Cluster Analysis</vt:lpstr>
      <vt:lpstr>MDS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 Kandel</dc:creator>
  <cp:lastModifiedBy>Pratima Kandel</cp:lastModifiedBy>
  <dcterms:created xsi:type="dcterms:W3CDTF">2025-07-17T04:01:22Z</dcterms:created>
  <dcterms:modified xsi:type="dcterms:W3CDTF">2025-07-17T04:40:30Z</dcterms:modified>
</cp:coreProperties>
</file>